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ncial  Modelling\New folder\"/>
    </mc:Choice>
  </mc:AlternateContent>
  <xr:revisionPtr revIDLastSave="0" documentId="13_ncr:1_{9A148D77-827A-4676-A23D-8430717B8CFD}" xr6:coauthVersionLast="47" xr6:coauthVersionMax="47" xr10:uidLastSave="{00000000-0000-0000-0000-000000000000}"/>
  <bookViews>
    <workbookView xWindow="-108" yWindow="-108" windowWidth="23256" windowHeight="12456" xr2:uid="{243A17AD-2D8D-4E9C-8075-5E3DA5F77CA3}"/>
  </bookViews>
  <sheets>
    <sheet name="Colgate IS" sheetId="1" r:id="rId1"/>
    <sheet name="Colgate BS" sheetId="2" r:id="rId2"/>
    <sheet name="Colgate CF" sheetId="3" r:id="rId3"/>
    <sheet name="Dep Capex" sheetId="4" r:id="rId4"/>
    <sheet name="Working Capital" sheetId="5" r:id="rId5"/>
    <sheet name="CWIP" sheetId="6" r:id="rId6"/>
    <sheet name="FA" sheetId="7" r:id="rId7"/>
    <sheet name="Equity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K4" i="1" s="1"/>
  <c r="J5" i="1"/>
  <c r="K5" i="1" s="1"/>
  <c r="L5" i="1" s="1"/>
  <c r="M5" i="1" s="1"/>
  <c r="N5" i="1" s="1"/>
  <c r="G6" i="1"/>
  <c r="H6" i="1"/>
  <c r="H14" i="1" s="1"/>
  <c r="H16" i="1" s="1"/>
  <c r="H18" i="1" s="1"/>
  <c r="H20" i="1" s="1"/>
  <c r="I6" i="1"/>
  <c r="J6" i="1"/>
  <c r="J8" i="1"/>
  <c r="J9" i="1"/>
  <c r="J11" i="1"/>
  <c r="K11" i="1"/>
  <c r="L11" i="1"/>
  <c r="M11" i="1" s="1"/>
  <c r="N11" i="1" s="1"/>
  <c r="J12" i="1"/>
  <c r="G13" i="1"/>
  <c r="G14" i="1" s="1"/>
  <c r="G16" i="1" s="1"/>
  <c r="G18" i="1" s="1"/>
  <c r="G20" i="1" s="1"/>
  <c r="H13" i="1"/>
  <c r="I13" i="1"/>
  <c r="I14" i="1"/>
  <c r="I16" i="1"/>
  <c r="I18" i="1" s="1"/>
  <c r="I20" i="1" s="1"/>
  <c r="I22" i="1" s="1"/>
  <c r="J19" i="1"/>
  <c r="H25" i="1"/>
  <c r="I25" i="1"/>
  <c r="G26" i="1"/>
  <c r="H26" i="1"/>
  <c r="I26" i="1"/>
  <c r="G29" i="1"/>
  <c r="H29" i="1"/>
  <c r="I29" i="1"/>
  <c r="G30" i="1"/>
  <c r="H30" i="1"/>
  <c r="I30" i="1"/>
  <c r="G31" i="1"/>
  <c r="H31" i="1"/>
  <c r="I31" i="1"/>
  <c r="G32" i="1"/>
  <c r="H32" i="1"/>
  <c r="I32" i="1"/>
  <c r="G34" i="1"/>
  <c r="H34" i="1"/>
  <c r="I34" i="1"/>
  <c r="H35" i="1" l="1"/>
  <c r="H22" i="1"/>
  <c r="G22" i="1"/>
  <c r="G35" i="1"/>
  <c r="K9" i="1"/>
  <c r="K12" i="1"/>
  <c r="K19" i="1"/>
  <c r="K8" i="1"/>
  <c r="L4" i="1"/>
  <c r="K6" i="1"/>
  <c r="I35" i="1"/>
  <c r="J20" i="2"/>
  <c r="K20" i="2"/>
  <c r="L20" i="2"/>
  <c r="M20" i="2"/>
  <c r="I20" i="2"/>
  <c r="F26" i="3"/>
  <c r="L8" i="1" l="1"/>
  <c r="L12" i="1"/>
  <c r="M4" i="1"/>
  <c r="L6" i="1"/>
  <c r="L9" i="1"/>
  <c r="L19" i="1"/>
  <c r="J23" i="2"/>
  <c r="K23" i="2" s="1"/>
  <c r="L23" i="2" s="1"/>
  <c r="M23" i="2" s="1"/>
  <c r="I23" i="2"/>
  <c r="I22" i="2"/>
  <c r="J22" i="2" s="1"/>
  <c r="K22" i="2" s="1"/>
  <c r="L22" i="2" s="1"/>
  <c r="M22" i="2" s="1"/>
  <c r="B4" i="8"/>
  <c r="I39" i="2"/>
  <c r="J39" i="2" s="1"/>
  <c r="K39" i="2" s="1"/>
  <c r="L39" i="2" s="1"/>
  <c r="M39" i="2" s="1"/>
  <c r="I38" i="2"/>
  <c r="J38" i="2" s="1"/>
  <c r="K38" i="2" s="1"/>
  <c r="L38" i="2" s="1"/>
  <c r="M38" i="2" s="1"/>
  <c r="I37" i="2"/>
  <c r="J37" i="2" s="1"/>
  <c r="K37" i="2" s="1"/>
  <c r="L37" i="2" s="1"/>
  <c r="M37" i="2" s="1"/>
  <c r="I36" i="2"/>
  <c r="I45" i="2"/>
  <c r="J45" i="2" s="1"/>
  <c r="K45" i="2" s="1"/>
  <c r="L45" i="2" s="1"/>
  <c r="M45" i="2" s="1"/>
  <c r="I43" i="2"/>
  <c r="J43" i="2" s="1"/>
  <c r="K43" i="2" s="1"/>
  <c r="L43" i="2" s="1"/>
  <c r="M43" i="2" s="1"/>
  <c r="I47" i="2"/>
  <c r="J47" i="2" s="1"/>
  <c r="K47" i="2" s="1"/>
  <c r="L47" i="2" s="1"/>
  <c r="M47" i="2" s="1"/>
  <c r="I48" i="2"/>
  <c r="J48" i="2" s="1"/>
  <c r="K48" i="2" s="1"/>
  <c r="L48" i="2" s="1"/>
  <c r="M48" i="2" s="1"/>
  <c r="I46" i="2"/>
  <c r="J46" i="2" s="1"/>
  <c r="K46" i="2" s="1"/>
  <c r="L46" i="2" s="1"/>
  <c r="M46" i="2" s="1"/>
  <c r="I13" i="2"/>
  <c r="J13" i="2" s="1"/>
  <c r="K13" i="2" s="1"/>
  <c r="L13" i="2" s="1"/>
  <c r="M13" i="2" s="1"/>
  <c r="I12" i="2"/>
  <c r="J12" i="2" s="1"/>
  <c r="K12" i="2" s="1"/>
  <c r="L12" i="2" s="1"/>
  <c r="M12" i="2" s="1"/>
  <c r="I11" i="2"/>
  <c r="J11" i="2" s="1"/>
  <c r="K11" i="2" s="1"/>
  <c r="L11" i="2" s="1"/>
  <c r="M11" i="2" s="1"/>
  <c r="B7" i="7"/>
  <c r="C7" i="7" s="1"/>
  <c r="C9" i="7" s="1"/>
  <c r="B4" i="7"/>
  <c r="C4" i="7" s="1"/>
  <c r="C6" i="7" s="1"/>
  <c r="B3" i="6"/>
  <c r="N4" i="1" l="1"/>
  <c r="M6" i="1"/>
  <c r="M19" i="1"/>
  <c r="M8" i="1"/>
  <c r="M12" i="1"/>
  <c r="M9" i="1"/>
  <c r="I40" i="2"/>
  <c r="J36" i="2"/>
  <c r="K36" i="2" s="1"/>
  <c r="L36" i="2" s="1"/>
  <c r="M36" i="2" s="1"/>
  <c r="M40" i="2" s="1"/>
  <c r="I10" i="2"/>
  <c r="D7" i="7"/>
  <c r="D9" i="7" s="1"/>
  <c r="D4" i="7"/>
  <c r="D6" i="7" s="1"/>
  <c r="I9" i="2"/>
  <c r="I21" i="5"/>
  <c r="G11" i="5"/>
  <c r="H11" i="5"/>
  <c r="F11" i="5"/>
  <c r="N19" i="1" l="1"/>
  <c r="N9" i="1"/>
  <c r="N6" i="1"/>
  <c r="N8" i="1"/>
  <c r="N12" i="1"/>
  <c r="J40" i="2"/>
  <c r="L40" i="2"/>
  <c r="K40" i="2"/>
  <c r="E4" i="7"/>
  <c r="E6" i="7" s="1"/>
  <c r="J9" i="2"/>
  <c r="J10" i="2"/>
  <c r="E7" i="7"/>
  <c r="E9" i="7" s="1"/>
  <c r="J15" i="5"/>
  <c r="K15" i="5"/>
  <c r="L15" i="5"/>
  <c r="M15" i="5"/>
  <c r="I15" i="5"/>
  <c r="J14" i="5"/>
  <c r="K14" i="5"/>
  <c r="L14" i="5"/>
  <c r="M14" i="5"/>
  <c r="I14" i="5"/>
  <c r="J21" i="5"/>
  <c r="F4" i="7" l="1"/>
  <c r="F6" i="7" s="1"/>
  <c r="K9" i="2"/>
  <c r="F7" i="7"/>
  <c r="F9" i="7" s="1"/>
  <c r="K10" i="2"/>
  <c r="I16" i="5"/>
  <c r="J16" i="5"/>
  <c r="K16" i="5"/>
  <c r="L16" i="5"/>
  <c r="M16" i="5"/>
  <c r="K21" i="5"/>
  <c r="L21" i="5"/>
  <c r="M21" i="5"/>
  <c r="G4" i="7" l="1"/>
  <c r="G6" i="7" s="1"/>
  <c r="M9" i="2" s="1"/>
  <c r="L9" i="2"/>
  <c r="G7" i="7"/>
  <c r="G9" i="7" s="1"/>
  <c r="M10" i="2" s="1"/>
  <c r="L10" i="2"/>
  <c r="G10" i="5"/>
  <c r="H10" i="5"/>
  <c r="I10" i="5"/>
  <c r="J10" i="5"/>
  <c r="K10" i="5"/>
  <c r="L10" i="5"/>
  <c r="M10" i="5"/>
  <c r="F10" i="5"/>
  <c r="J11" i="5"/>
  <c r="L11" i="5"/>
  <c r="M11" i="5"/>
  <c r="I11" i="5"/>
  <c r="G8" i="5"/>
  <c r="G16" i="5" s="1"/>
  <c r="G20" i="5" s="1"/>
  <c r="H8" i="5"/>
  <c r="F8" i="5"/>
  <c r="F16" i="5" s="1"/>
  <c r="F20" i="5" s="1"/>
  <c r="G7" i="5"/>
  <c r="G15" i="5" s="1"/>
  <c r="G19" i="5" s="1"/>
  <c r="H7" i="5"/>
  <c r="F7" i="5"/>
  <c r="F15" i="5" s="1"/>
  <c r="F19" i="5" s="1"/>
  <c r="G6" i="5"/>
  <c r="G14" i="5" s="1"/>
  <c r="G18" i="5" s="1"/>
  <c r="H6" i="5"/>
  <c r="F6" i="5"/>
  <c r="F14" i="5" l="1"/>
  <c r="F18" i="5" s="1"/>
  <c r="M8" i="5"/>
  <c r="M7" i="5"/>
  <c r="M16" i="2" s="1"/>
  <c r="L8" i="5"/>
  <c r="L7" i="5"/>
  <c r="K11" i="5"/>
  <c r="H14" i="5"/>
  <c r="H18" i="5" s="1"/>
  <c r="H15" i="5"/>
  <c r="H19" i="5" s="1"/>
  <c r="G21" i="5"/>
  <c r="F21" i="5"/>
  <c r="H16" i="5"/>
  <c r="H20" i="5" s="1"/>
  <c r="N10" i="1" l="1"/>
  <c r="N13" i="1" s="1"/>
  <c r="N14" i="1" s="1"/>
  <c r="N16" i="1" s="1"/>
  <c r="K8" i="5"/>
  <c r="I10" i="3" s="1"/>
  <c r="K7" i="5"/>
  <c r="M10" i="1" s="1"/>
  <c r="M13" i="1" s="1"/>
  <c r="M14" i="1" s="1"/>
  <c r="M16" i="1" s="1"/>
  <c r="J9" i="3"/>
  <c r="L16" i="2"/>
  <c r="M44" i="2"/>
  <c r="M49" i="2" s="1"/>
  <c r="J10" i="3"/>
  <c r="L44" i="2"/>
  <c r="L49" i="2" s="1"/>
  <c r="H21" i="5"/>
  <c r="M11" i="4"/>
  <c r="L11" i="4"/>
  <c r="J11" i="4"/>
  <c r="I11" i="4"/>
  <c r="C18" i="4"/>
  <c r="B18" i="4"/>
  <c r="F13" i="4"/>
  <c r="G10" i="4" s="1"/>
  <c r="G13" i="4"/>
  <c r="H10" i="4" s="1"/>
  <c r="H13" i="4"/>
  <c r="I10" i="4" s="1"/>
  <c r="H5" i="4"/>
  <c r="I5" i="4"/>
  <c r="I7" i="4" s="1"/>
  <c r="I12" i="4" s="1"/>
  <c r="G5" i="4"/>
  <c r="G7" i="4"/>
  <c r="G12" i="4" s="1"/>
  <c r="H7" i="4"/>
  <c r="H12" i="4" s="1"/>
  <c r="F7" i="4"/>
  <c r="F8" i="4" s="1"/>
  <c r="J17" i="1" l="1"/>
  <c r="F6" i="3" s="1"/>
  <c r="G8" i="4"/>
  <c r="F12" i="4"/>
  <c r="H8" i="4"/>
  <c r="I16" i="3"/>
  <c r="I17" i="3" s="1"/>
  <c r="E4" i="6"/>
  <c r="K44" i="2"/>
  <c r="K49" i="2" s="1"/>
  <c r="J16" i="3"/>
  <c r="J17" i="3" s="1"/>
  <c r="F4" i="6"/>
  <c r="F16" i="3"/>
  <c r="F17" i="3" s="1"/>
  <c r="B4" i="6"/>
  <c r="G16" i="3"/>
  <c r="G17" i="3" s="1"/>
  <c r="C4" i="6"/>
  <c r="I9" i="3"/>
  <c r="K16" i="2"/>
  <c r="I13" i="4"/>
  <c r="I6" i="2" s="1"/>
  <c r="F24" i="2"/>
  <c r="F14" i="2"/>
  <c r="G49" i="2"/>
  <c r="H49" i="2"/>
  <c r="F49" i="2"/>
  <c r="G40" i="2"/>
  <c r="H40" i="2"/>
  <c r="F40" i="2"/>
  <c r="G31" i="2"/>
  <c r="H31" i="2"/>
  <c r="F31" i="2"/>
  <c r="H24" i="2"/>
  <c r="G24" i="2"/>
  <c r="H14" i="2"/>
  <c r="G14" i="2"/>
  <c r="D18" i="4"/>
  <c r="B6" i="6" l="1"/>
  <c r="B9" i="6" s="1"/>
  <c r="B7" i="6"/>
  <c r="B8" i="6" s="1"/>
  <c r="C6" i="6"/>
  <c r="C9" i="6" s="1"/>
  <c r="F6" i="6"/>
  <c r="F9" i="6" s="1"/>
  <c r="M7" i="2" s="1"/>
  <c r="E6" i="6"/>
  <c r="E9" i="6" s="1"/>
  <c r="H50" i="2"/>
  <c r="F25" i="2"/>
  <c r="G50" i="2"/>
  <c r="G25" i="2"/>
  <c r="F50" i="2"/>
  <c r="H25" i="2"/>
  <c r="H52" i="2" s="1"/>
  <c r="J5" i="4"/>
  <c r="J7" i="4" s="1"/>
  <c r="J12" i="4" s="1"/>
  <c r="K17" i="1" s="1"/>
  <c r="J10" i="4"/>
  <c r="F52" i="2" l="1"/>
  <c r="F7" i="6"/>
  <c r="F3" i="6"/>
  <c r="F8" i="6" s="1"/>
  <c r="L7" i="2"/>
  <c r="D3" i="6"/>
  <c r="J7" i="2"/>
  <c r="E7" i="6"/>
  <c r="C7" i="6"/>
  <c r="C3" i="6"/>
  <c r="I7" i="2"/>
  <c r="I14" i="2" s="1"/>
  <c r="G6" i="3"/>
  <c r="G52" i="2"/>
  <c r="J13" i="4"/>
  <c r="J6" i="2" s="1"/>
  <c r="C8" i="6" l="1"/>
  <c r="J14" i="2"/>
  <c r="K5" i="4"/>
  <c r="K7" i="4" s="1"/>
  <c r="K12" i="4" s="1"/>
  <c r="L17" i="1" s="1"/>
  <c r="K10" i="4"/>
  <c r="H6" i="3" l="1"/>
  <c r="K11" i="4"/>
  <c r="K13" i="4" l="1"/>
  <c r="K6" i="2" s="1"/>
  <c r="H16" i="3"/>
  <c r="H17" i="3" s="1"/>
  <c r="D4" i="6"/>
  <c r="L5" i="4"/>
  <c r="L7" i="4" s="1"/>
  <c r="L12" i="4" s="1"/>
  <c r="M17" i="1" s="1"/>
  <c r="M18" i="1" s="1"/>
  <c r="M20" i="1" s="1"/>
  <c r="L10" i="4" l="1"/>
  <c r="M21" i="1"/>
  <c r="M22" i="1"/>
  <c r="D6" i="6"/>
  <c r="D9" i="6" s="1"/>
  <c r="D7" i="6"/>
  <c r="D8" i="6" s="1"/>
  <c r="I5" i="3"/>
  <c r="I6" i="3"/>
  <c r="L13" i="4"/>
  <c r="L6" i="2" s="1"/>
  <c r="L14" i="2" s="1"/>
  <c r="E3" i="6" l="1"/>
  <c r="E8" i="6" s="1"/>
  <c r="K7" i="2"/>
  <c r="K14" i="2" s="1"/>
  <c r="M5" i="4"/>
  <c r="M7" i="4" s="1"/>
  <c r="M12" i="4" s="1"/>
  <c r="N17" i="1" s="1"/>
  <c r="N18" i="1" s="1"/>
  <c r="N20" i="1" s="1"/>
  <c r="M10" i="4"/>
  <c r="N21" i="1" l="1"/>
  <c r="N22" i="1"/>
  <c r="J5" i="3"/>
  <c r="J6" i="3"/>
  <c r="I12" i="3"/>
  <c r="M13" i="4"/>
  <c r="M6" i="2" s="1"/>
  <c r="M14" i="2" s="1"/>
  <c r="E5" i="8" l="1"/>
  <c r="E7" i="8" s="1"/>
  <c r="I20" i="3"/>
  <c r="I21" i="3" s="1"/>
  <c r="I22" i="3" s="1"/>
  <c r="J12" i="3"/>
  <c r="K6" i="5"/>
  <c r="I6" i="5"/>
  <c r="J6" i="5"/>
  <c r="L6" i="5"/>
  <c r="M6" i="5"/>
  <c r="M18" i="2" s="1"/>
  <c r="G8" i="3" l="1"/>
  <c r="I18" i="2"/>
  <c r="F8" i="3"/>
  <c r="I8" i="3"/>
  <c r="I11" i="3" s="1"/>
  <c r="I13" i="3" s="1"/>
  <c r="I25" i="3" s="1"/>
  <c r="K18" i="2"/>
  <c r="J8" i="3"/>
  <c r="J11" i="3" s="1"/>
  <c r="L18" i="2"/>
  <c r="H8" i="3"/>
  <c r="J18" i="2"/>
  <c r="J13" i="3"/>
  <c r="F5" i="8"/>
  <c r="F7" i="8" s="1"/>
  <c r="J20" i="3"/>
  <c r="J21" i="3" s="1"/>
  <c r="J22" i="3" s="1"/>
  <c r="J8" i="5"/>
  <c r="J44" i="2" l="1"/>
  <c r="J49" i="2" s="1"/>
  <c r="H10" i="3"/>
  <c r="J25" i="3"/>
  <c r="J7" i="5"/>
  <c r="L10" i="1" s="1"/>
  <c r="L13" i="1" s="1"/>
  <c r="L14" i="1" s="1"/>
  <c r="L16" i="1" s="1"/>
  <c r="L18" i="1" s="1"/>
  <c r="L20" i="1" s="1"/>
  <c r="L21" i="1" l="1"/>
  <c r="L22" i="1" s="1"/>
  <c r="H9" i="3"/>
  <c r="J16" i="2"/>
  <c r="I8" i="5"/>
  <c r="H5" i="3" l="1"/>
  <c r="H11" i="3" s="1"/>
  <c r="H12" i="3"/>
  <c r="I44" i="2"/>
  <c r="I49" i="2" s="1"/>
  <c r="F10" i="3"/>
  <c r="G10" i="3"/>
  <c r="I7" i="5"/>
  <c r="J10" i="1" l="1"/>
  <c r="J13" i="1" s="1"/>
  <c r="J14" i="1" s="1"/>
  <c r="J16" i="1" s="1"/>
  <c r="J18" i="1" s="1"/>
  <c r="J20" i="1" s="1"/>
  <c r="K10" i="1"/>
  <c r="K13" i="1" s="1"/>
  <c r="K14" i="1" s="1"/>
  <c r="K16" i="1" s="1"/>
  <c r="K18" i="1" s="1"/>
  <c r="K20" i="1" s="1"/>
  <c r="H13" i="3"/>
  <c r="D5" i="8"/>
  <c r="D7" i="8" s="1"/>
  <c r="H20" i="3"/>
  <c r="H21" i="3" s="1"/>
  <c r="H22" i="3" s="1"/>
  <c r="G9" i="3"/>
  <c r="F9" i="3"/>
  <c r="I16" i="2"/>
  <c r="K21" i="1" l="1"/>
  <c r="K22" i="1" s="1"/>
  <c r="H25" i="3"/>
  <c r="J21" i="1"/>
  <c r="J22" i="1" s="1"/>
  <c r="G5" i="3"/>
  <c r="G11" i="3" s="1"/>
  <c r="F5" i="3"/>
  <c r="F11" i="3" s="1"/>
  <c r="G12" i="3" l="1"/>
  <c r="F12" i="3"/>
  <c r="F13" i="3" s="1"/>
  <c r="C5" i="8"/>
  <c r="C7" i="8" s="1"/>
  <c r="G20" i="3"/>
  <c r="G21" i="3" s="1"/>
  <c r="G22" i="3" s="1"/>
  <c r="G13" i="3"/>
  <c r="G25" i="3" l="1"/>
  <c r="F20" i="3"/>
  <c r="F21" i="3" s="1"/>
  <c r="F22" i="3" s="1"/>
  <c r="F25" i="3" s="1"/>
  <c r="F27" i="3" s="1"/>
  <c r="B5" i="8"/>
  <c r="B7" i="8" s="1"/>
  <c r="B8" i="8" s="1"/>
  <c r="I30" i="2" l="1"/>
  <c r="I31" i="2" s="1"/>
  <c r="I50" i="2" s="1"/>
  <c r="C4" i="8"/>
  <c r="C8" i="8" s="1"/>
  <c r="I19" i="2"/>
  <c r="I24" i="2" s="1"/>
  <c r="I25" i="2" s="1"/>
  <c r="G26" i="3"/>
  <c r="G27" i="3" s="1"/>
  <c r="I52" i="2" l="1"/>
  <c r="J19" i="2"/>
  <c r="J24" i="2" s="1"/>
  <c r="J25" i="2" s="1"/>
  <c r="H26" i="3"/>
  <c r="H27" i="3" s="1"/>
  <c r="J30" i="2"/>
  <c r="J31" i="2" s="1"/>
  <c r="J50" i="2" s="1"/>
  <c r="D4" i="8"/>
  <c r="D8" i="8" s="1"/>
  <c r="E4" i="8" l="1"/>
  <c r="E8" i="8" s="1"/>
  <c r="K30" i="2"/>
  <c r="K31" i="2" s="1"/>
  <c r="K50" i="2" s="1"/>
  <c r="I26" i="3"/>
  <c r="I27" i="3" s="1"/>
  <c r="K19" i="2"/>
  <c r="K24" i="2" s="1"/>
  <c r="K25" i="2" s="1"/>
  <c r="J52" i="2"/>
  <c r="K52" i="2" l="1"/>
  <c r="J26" i="3"/>
  <c r="J27" i="3" s="1"/>
  <c r="M19" i="2" s="1"/>
  <c r="M24" i="2" s="1"/>
  <c r="M25" i="2" s="1"/>
  <c r="M52" i="2" s="1"/>
  <c r="L19" i="2"/>
  <c r="L24" i="2" s="1"/>
  <c r="L25" i="2" s="1"/>
  <c r="L30" i="2"/>
  <c r="L31" i="2" s="1"/>
  <c r="L50" i="2" s="1"/>
  <c r="F4" i="8"/>
  <c r="F8" i="8" s="1"/>
  <c r="M30" i="2" s="1"/>
  <c r="M31" i="2" s="1"/>
  <c r="M50" i="2" s="1"/>
  <c r="L52" i="2" l="1"/>
</calcChain>
</file>

<file path=xl/sharedStrings.xml><?xml version="1.0" encoding="utf-8"?>
<sst xmlns="http://schemas.openxmlformats.org/spreadsheetml/2006/main" count="173" uniqueCount="139">
  <si>
    <t>Colgate-Palmolive  Income Statement</t>
  </si>
  <si>
    <t>(all data in ₹ lakhs)</t>
  </si>
  <si>
    <t>Historicals</t>
  </si>
  <si>
    <t>Forecasts</t>
  </si>
  <si>
    <t>Revenue from Operations</t>
  </si>
  <si>
    <t>Other Income</t>
  </si>
  <si>
    <t>(A) Total Income</t>
  </si>
  <si>
    <t>Expenses</t>
  </si>
  <si>
    <t>Changes in Inventories</t>
  </si>
  <si>
    <t>Employee Benefits Expense</t>
  </si>
  <si>
    <t>Other Expenses</t>
  </si>
  <si>
    <t>(B) Total Expense</t>
  </si>
  <si>
    <t>Depreciation and Amortisation</t>
  </si>
  <si>
    <t>(C) EBITDA</t>
  </si>
  <si>
    <t>Finance Cost</t>
  </si>
  <si>
    <t>(E) PBT</t>
  </si>
  <si>
    <t xml:space="preserve">(D) EBIT </t>
  </si>
  <si>
    <t>Total Tax Expense</t>
  </si>
  <si>
    <t>PAT</t>
  </si>
  <si>
    <t>Colgate-Palmolive  Balance Sheet</t>
  </si>
  <si>
    <t>(all data in ₹ Lakhs)</t>
  </si>
  <si>
    <t>Assets</t>
  </si>
  <si>
    <t>Non-Current Assets</t>
  </si>
  <si>
    <t>Property, Plant and Equipment</t>
  </si>
  <si>
    <t>Capital Work-in-Progress</t>
  </si>
  <si>
    <t>Financial Assets</t>
  </si>
  <si>
    <t>(i) Loans</t>
  </si>
  <si>
    <t>(ii) Other financial assets</t>
  </si>
  <si>
    <t>Deferred Tax Assets (Net)</t>
  </si>
  <si>
    <t>Other Non-Current Assets</t>
  </si>
  <si>
    <t>Current Tax Assets (Net)</t>
  </si>
  <si>
    <t>Current Assets</t>
  </si>
  <si>
    <t>Inventories</t>
  </si>
  <si>
    <t>(i) Trade Receivables</t>
  </si>
  <si>
    <t>(ii) Cash and Cash Equivalents</t>
  </si>
  <si>
    <t>(iii) Bank Balances [other than (ii) above]</t>
  </si>
  <si>
    <t>(iv) Loans</t>
  </si>
  <si>
    <t>(v) Other financial assets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</si>
  <si>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</si>
  <si>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</si>
  <si>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</si>
  <si>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</si>
  <si>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</si>
  <si>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</si>
  <si>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</si>
  <si>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</si>
  <si>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</si>
  <si>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</si>
  <si>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(i) Lease liabilities</t>
  </si>
  <si>
    <t>(ii) Other Financial Liabilities</t>
  </si>
  <si>
    <t>Provisions</t>
  </si>
  <si>
    <t>Other Non-Current Liabilities</t>
  </si>
  <si>
    <t>Current liabilities</t>
  </si>
  <si>
    <t>(ii) Trade Payables</t>
  </si>
  <si>
    <t>(iii) Other Financial Liabilities</t>
  </si>
  <si>
    <t>Other Current Liabilities</t>
  </si>
  <si>
    <t>Current Tax Liabilities (Net)</t>
  </si>
  <si>
    <t>Total Liabilities</t>
  </si>
  <si>
    <t>Purchase of Stock-in-Trade</t>
  </si>
  <si>
    <t>Cost of Material Consumed</t>
  </si>
  <si>
    <t>Profit Before Exceptional Item and Tax</t>
  </si>
  <si>
    <t>Exceptional Items</t>
  </si>
  <si>
    <t>Colgate-Palmolive Depreciation Capex</t>
  </si>
  <si>
    <t>Dep</t>
  </si>
  <si>
    <t>Drivers</t>
  </si>
  <si>
    <t>Revenue % growth</t>
  </si>
  <si>
    <t>other income</t>
  </si>
  <si>
    <t>Beginning PPE</t>
  </si>
  <si>
    <t>Capital Expenditure</t>
  </si>
  <si>
    <t>Depreciation</t>
  </si>
  <si>
    <t>Net PPE</t>
  </si>
  <si>
    <t>PPE</t>
  </si>
  <si>
    <t>Depreciation as % of PPE</t>
  </si>
  <si>
    <t xml:space="preserve">Capex </t>
  </si>
  <si>
    <t>Capex % as of Revenue</t>
  </si>
  <si>
    <t>For forecasts Average Capex has been taken as</t>
  </si>
  <si>
    <t>Working Capital Balances</t>
  </si>
  <si>
    <t>Accounts Receivables</t>
  </si>
  <si>
    <t>Accounts Payables</t>
  </si>
  <si>
    <t>Total Revenue</t>
  </si>
  <si>
    <t>Operating Costs</t>
  </si>
  <si>
    <t xml:space="preserve">Turnover Ratios </t>
  </si>
  <si>
    <t>Receivables turnover = (Sales / Accounts Receivables)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</si>
  <si>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</si>
  <si>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</si>
  <si>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</si>
  <si>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</si>
  <si>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</si>
  <si>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Cash Collection Cycle</t>
  </si>
  <si>
    <t>Colgate-Palmolive Working Capital</t>
  </si>
  <si>
    <t>Inventory</t>
  </si>
  <si>
    <t>Finance Cost as % of Revenue</t>
  </si>
  <si>
    <t>Tax %</t>
  </si>
  <si>
    <t>CWIP Schedule</t>
  </si>
  <si>
    <t>Opening</t>
  </si>
  <si>
    <t>Capex</t>
  </si>
  <si>
    <t>Closing</t>
  </si>
  <si>
    <t>Held(15%)</t>
  </si>
  <si>
    <t>Capetalised</t>
  </si>
  <si>
    <t>for capetalisation</t>
  </si>
  <si>
    <t>Non Current</t>
  </si>
  <si>
    <t>At 5%</t>
  </si>
  <si>
    <t>at 5%</t>
  </si>
  <si>
    <t>Deferred Tax Asset</t>
  </si>
  <si>
    <t>Expenses ( as % of Revenue)</t>
  </si>
  <si>
    <t>Current Tax Assets</t>
  </si>
  <si>
    <t>Current Liabilities</t>
  </si>
  <si>
    <t>Current Tax Liabilities</t>
  </si>
  <si>
    <t>Lease Liabilities</t>
  </si>
  <si>
    <t>Other Financial Liabilities</t>
  </si>
  <si>
    <t>Non Current Liabilities</t>
  </si>
  <si>
    <t>Other Non-current Liabilities</t>
  </si>
  <si>
    <t>Calculation of other Equity</t>
  </si>
  <si>
    <t xml:space="preserve">Opening </t>
  </si>
  <si>
    <t xml:space="preserve">Retained </t>
  </si>
  <si>
    <t>Closing other equity</t>
  </si>
  <si>
    <t>Check</t>
  </si>
  <si>
    <t>Loans</t>
  </si>
  <si>
    <t>Other Financial Assets</t>
  </si>
  <si>
    <t xml:space="preserve">other current assets </t>
  </si>
  <si>
    <t>Colgate-Palmolive Cash Flow</t>
  </si>
  <si>
    <t>Operating Activities</t>
  </si>
  <si>
    <t>Profit Before Tax</t>
  </si>
  <si>
    <t>Change in Working Capital</t>
  </si>
  <si>
    <t>Receivables</t>
  </si>
  <si>
    <t>Payables</t>
  </si>
  <si>
    <t>Cash generated before Tax</t>
  </si>
  <si>
    <t>Tax</t>
  </si>
  <si>
    <t>Net Cash from Operating Activities (A)</t>
  </si>
  <si>
    <t>Invensting Activities</t>
  </si>
  <si>
    <t>Net Cash from Investing (B)</t>
  </si>
  <si>
    <t>Financing Activities</t>
  </si>
  <si>
    <t>Dividend</t>
  </si>
  <si>
    <t>(retained 15%)</t>
  </si>
  <si>
    <t>Net Cash from Financing (C)</t>
  </si>
  <si>
    <t>Net Change in Cash</t>
  </si>
  <si>
    <t>Opening Cash</t>
  </si>
  <si>
    <t>Closing Cash</t>
  </si>
  <si>
    <t>Bank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</si>
</sst>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1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</font>
    <font>
      <sz val="11"/>
      <color theme="8"/>
      <name val="Calibri"/>
      <family val="2"/>
    </font>
    <font>
      <u/>
      <sz val="11"/>
      <color theme="1"/>
      <name val="Calibri"/>
      <family val="2"/>
    </font>
    <font>
      <sz val="11"/>
      <color theme="4"/>
      <name val="Calibri"/>
      <family val="2"/>
    </font>
    <font>
      <sz val="16"/>
      <color theme="1"/>
      <name val="Calibri"/>
      <family val="2"/>
    </font>
    <font>
      <b/>
      <sz val="11"/>
      <color theme="4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1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0" fillId="2" borderId="1" xfId="0" applyFill="1" applyBorder="1" applyAlignment="1">
      <alignment horizontal="center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4" fillId="0" borderId="0" xfId="0" applyNumberFormat="1" applyFon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0" fillId="3" borderId="0" xfId="0" applyFill="1"/>
    <xf numFmtId="0" fontId="11" fillId="0" borderId="0" xfId="0" applyFont="1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4" fillId="2" borderId="0" xfId="0" applyFont="1" applyFill="1"/>
    <xf numFmtId="0" fontId="0" fillId="2" borderId="0" xfId="1" applyNumberFormat="1" applyFont="1" applyFill="1"/>
    <xf numFmtId="0" fontId="12" fillId="2" borderId="0" xfId="0" applyFont="1" applyFill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wrapText="1"/>
    </xf>
    <xf numFmtId="3" fontId="3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9" fontId="8" fillId="0" borderId="0" xfId="1" applyFont="1"/>
    <xf numFmtId="9" fontId="8" fillId="0" borderId="0" xfId="0" applyNumberFormat="1" applyFont="1"/>
    <xf numFmtId="1" fontId="8" fillId="0" borderId="0" xfId="0" applyNumberFormat="1" applyFont="1"/>
    <xf numFmtId="0" fontId="8" fillId="0" borderId="0" xfId="0" applyFont="1"/>
    <xf numFmtId="3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 vertical="center" wrapText="1"/>
    </xf>
    <xf numFmtId="3" fontId="15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top" wrapText="1"/>
    </xf>
    <xf numFmtId="0" fontId="11" fillId="0" borderId="2" xfId="0" applyFont="1" applyBorder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7968-0CD7-4391-9467-823C9B076EC9}">
  <dimension ref="A1:N36"/>
  <sheetViews>
    <sheetView tabSelected="1" zoomScaleNormal="100" workbookViewId="0">
      <selection activeCell="A4" sqref="A4:F4"/>
    </sheetView>
  </sheetViews>
  <sheetFormatPr defaultRowHeight="14.4" x14ac:dyDescent="0.3"/>
  <cols>
    <col min="7" max="7" width="10.44140625" style="2" bestFit="1" customWidth="1"/>
    <col min="8" max="8" width="9.109375" style="2" bestFit="1" customWidth="1"/>
    <col min="9" max="9" width="8.88671875" style="2"/>
    <col min="10" max="10" width="10.33203125" style="2" customWidth="1"/>
    <col min="11" max="11" width="22.21875" style="2" bestFit="1" customWidth="1"/>
    <col min="12" max="12" width="22.77734375" style="2" bestFit="1" customWidth="1"/>
    <col min="13" max="13" width="14" style="2" customWidth="1"/>
    <col min="14" max="14" width="12.44140625" style="2" customWidth="1"/>
  </cols>
  <sheetData>
    <row r="1" spans="1:14" x14ac:dyDescent="0.3">
      <c r="A1" s="57" t="s">
        <v>0</v>
      </c>
      <c r="B1" s="57"/>
      <c r="C1" s="57"/>
      <c r="D1" s="57"/>
      <c r="E1" s="57"/>
      <c r="F1" s="57"/>
      <c r="G1" s="55" t="s">
        <v>2</v>
      </c>
      <c r="H1" s="55"/>
      <c r="I1" s="55"/>
      <c r="J1" s="55" t="s">
        <v>3</v>
      </c>
      <c r="K1" s="55"/>
      <c r="L1" s="55"/>
      <c r="M1" s="55"/>
      <c r="N1" s="55"/>
    </row>
    <row r="2" spans="1:14" x14ac:dyDescent="0.3">
      <c r="A2" s="57"/>
      <c r="B2" s="57"/>
      <c r="C2" s="57"/>
      <c r="D2" s="57"/>
      <c r="E2" s="57"/>
      <c r="F2" s="57"/>
      <c r="G2" s="56"/>
      <c r="H2" s="56"/>
      <c r="I2" s="56"/>
      <c r="J2" s="56"/>
      <c r="K2" s="56"/>
      <c r="L2" s="56"/>
      <c r="M2" s="56"/>
      <c r="N2" s="56"/>
    </row>
    <row r="3" spans="1:14" x14ac:dyDescent="0.3">
      <c r="A3" s="58" t="s">
        <v>1</v>
      </c>
      <c r="B3" s="58"/>
      <c r="C3" s="58"/>
      <c r="D3" s="58"/>
      <c r="E3" s="58"/>
      <c r="F3" s="58"/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</row>
    <row r="4" spans="1:14" x14ac:dyDescent="0.3">
      <c r="A4" s="53" t="s">
        <v>4</v>
      </c>
      <c r="B4" s="53"/>
      <c r="C4" s="53"/>
      <c r="D4" s="53"/>
      <c r="E4" s="53"/>
      <c r="F4" s="53"/>
      <c r="G4" s="26">
        <v>522619.71</v>
      </c>
      <c r="H4" s="26">
        <v>568043</v>
      </c>
      <c r="I4" s="26">
        <v>604017</v>
      </c>
      <c r="J4" s="27">
        <f>I4*(1+J25)</f>
        <v>652338.36</v>
      </c>
      <c r="K4" s="27">
        <f t="shared" ref="K4:N4" si="0">J4*(1+K25)</f>
        <v>704525.42879999999</v>
      </c>
      <c r="L4" s="27">
        <f t="shared" si="0"/>
        <v>760887.46310400008</v>
      </c>
      <c r="M4" s="27">
        <f t="shared" si="0"/>
        <v>821758.4601523201</v>
      </c>
      <c r="N4" s="27">
        <f t="shared" si="0"/>
        <v>887499.13696450577</v>
      </c>
    </row>
    <row r="5" spans="1:14" x14ac:dyDescent="0.3">
      <c r="A5" s="53" t="s">
        <v>5</v>
      </c>
      <c r="B5" s="53"/>
      <c r="C5" s="53"/>
      <c r="D5" s="53"/>
      <c r="E5" s="53"/>
      <c r="F5" s="53"/>
      <c r="G5" s="26">
        <v>5357.59</v>
      </c>
      <c r="H5" s="26">
        <v>7652</v>
      </c>
      <c r="I5" s="26">
        <v>13884</v>
      </c>
      <c r="J5" s="27">
        <f>I5*(1+J26)</f>
        <v>14092.259999999998</v>
      </c>
      <c r="K5" s="27">
        <f t="shared" ref="K5:N5" si="1">J5*(1+K26)</f>
        <v>14303.643899999997</v>
      </c>
      <c r="L5" s="27">
        <f t="shared" si="1"/>
        <v>14518.198558499997</v>
      </c>
      <c r="M5" s="27">
        <f t="shared" si="1"/>
        <v>14735.971536877496</v>
      </c>
      <c r="N5" s="27">
        <f t="shared" si="1"/>
        <v>14957.011109930658</v>
      </c>
    </row>
    <row r="6" spans="1:14" s="3" customFormat="1" x14ac:dyDescent="0.3">
      <c r="A6" s="54" t="s">
        <v>6</v>
      </c>
      <c r="B6" s="54"/>
      <c r="C6" s="54"/>
      <c r="D6" s="54"/>
      <c r="E6" s="54"/>
      <c r="F6" s="54"/>
      <c r="G6" s="28">
        <f>SUM(G4:G5)</f>
        <v>527977.30000000005</v>
      </c>
      <c r="H6" s="28">
        <f t="shared" ref="H6:N6" si="2">SUM(H4:H5)</f>
        <v>575695</v>
      </c>
      <c r="I6" s="28">
        <f t="shared" si="2"/>
        <v>617901</v>
      </c>
      <c r="J6" s="28">
        <f t="shared" si="2"/>
        <v>666430.62</v>
      </c>
      <c r="K6" s="28">
        <f t="shared" si="2"/>
        <v>718829.07270000002</v>
      </c>
      <c r="L6" s="28">
        <f t="shared" si="2"/>
        <v>775405.66166250012</v>
      </c>
      <c r="M6" s="28">
        <f t="shared" si="2"/>
        <v>836494.43168919755</v>
      </c>
      <c r="N6" s="28">
        <f t="shared" si="2"/>
        <v>902456.14807443647</v>
      </c>
    </row>
    <row r="7" spans="1:14" x14ac:dyDescent="0.3">
      <c r="A7" s="53" t="s">
        <v>7</v>
      </c>
      <c r="B7" s="53"/>
      <c r="C7" s="53"/>
      <c r="D7" s="53"/>
      <c r="E7" s="53"/>
      <c r="F7" s="53"/>
      <c r="G7" s="27"/>
      <c r="H7" s="27"/>
      <c r="I7" s="27"/>
      <c r="J7" s="27"/>
      <c r="K7" s="27"/>
      <c r="L7" s="27"/>
      <c r="M7" s="27"/>
      <c r="N7" s="27"/>
    </row>
    <row r="8" spans="1:14" ht="13.8" customHeight="1" x14ac:dyDescent="0.3">
      <c r="A8" s="53" t="s">
        <v>59</v>
      </c>
      <c r="B8" s="53"/>
      <c r="C8" s="53"/>
      <c r="D8" s="53"/>
      <c r="E8" s="53"/>
      <c r="F8" s="53"/>
      <c r="G8" s="29">
        <v>149249.57999999999</v>
      </c>
      <c r="H8" s="29">
        <v>145758.73000000001</v>
      </c>
      <c r="I8" s="29">
        <v>157911</v>
      </c>
      <c r="J8" s="27">
        <f>J29*J4</f>
        <v>169607.9736</v>
      </c>
      <c r="K8" s="27">
        <f t="shared" ref="K8:N8" si="3">K29*K4</f>
        <v>183176.611488</v>
      </c>
      <c r="L8" s="27">
        <f t="shared" si="3"/>
        <v>197830.74040704002</v>
      </c>
      <c r="M8" s="27">
        <f t="shared" si="3"/>
        <v>213657.19963960323</v>
      </c>
      <c r="N8" s="27">
        <f t="shared" si="3"/>
        <v>230749.7756107715</v>
      </c>
    </row>
    <row r="9" spans="1:14" x14ac:dyDescent="0.3">
      <c r="A9" s="53" t="s">
        <v>58</v>
      </c>
      <c r="B9" s="53"/>
      <c r="C9" s="53"/>
      <c r="D9" s="53"/>
      <c r="E9" s="53"/>
      <c r="F9" s="53"/>
      <c r="G9" s="29">
        <v>29776.86</v>
      </c>
      <c r="H9" s="29">
        <v>24491.33</v>
      </c>
      <c r="I9" s="29">
        <v>30986</v>
      </c>
      <c r="J9" s="27">
        <f>J30*J4</f>
        <v>32616.918000000001</v>
      </c>
      <c r="K9" s="27">
        <f t="shared" ref="K9:N9" si="4">K30*K4</f>
        <v>35226.271440000004</v>
      </c>
      <c r="L9" s="27">
        <f t="shared" si="4"/>
        <v>38044.373155200003</v>
      </c>
      <c r="M9" s="27">
        <f t="shared" si="4"/>
        <v>41087.923007616009</v>
      </c>
      <c r="N9" s="27">
        <f t="shared" si="4"/>
        <v>44374.956848225294</v>
      </c>
    </row>
    <row r="10" spans="1:14" x14ac:dyDescent="0.3">
      <c r="A10" s="53" t="s">
        <v>8</v>
      </c>
      <c r="B10" s="53"/>
      <c r="C10" s="53"/>
      <c r="D10" s="53"/>
      <c r="E10" s="53"/>
      <c r="F10" s="53"/>
      <c r="G10" s="29">
        <v>391.94</v>
      </c>
      <c r="H10" s="29">
        <v>2048</v>
      </c>
      <c r="I10" s="29">
        <v>-7070</v>
      </c>
      <c r="J10" s="49">
        <f>'Working Capital'!H7-'Working Capital'!I7</f>
        <v>-502.81512438356003</v>
      </c>
      <c r="K10" s="49">
        <f>'Working Capital'!I7-'Working Capital'!J7</f>
        <v>-3058.3052099506822</v>
      </c>
      <c r="L10" s="49">
        <f>'Working Capital'!J7-'Working Capital'!K7</f>
        <v>-3302.9696267467443</v>
      </c>
      <c r="M10" s="49">
        <f>'Working Capital'!K7-'Working Capital'!L7</f>
        <v>-3567.2071968864839</v>
      </c>
      <c r="N10" s="49">
        <f>'Working Capital'!L7-'Working Capital'!M7</f>
        <v>-3852.5837726374011</v>
      </c>
    </row>
    <row r="11" spans="1:14" x14ac:dyDescent="0.3">
      <c r="A11" s="53" t="s">
        <v>9</v>
      </c>
      <c r="B11" s="53"/>
      <c r="C11" s="53"/>
      <c r="D11" s="53"/>
      <c r="E11" s="53"/>
      <c r="F11" s="53"/>
      <c r="G11" s="29">
        <v>37696.99</v>
      </c>
      <c r="H11" s="29">
        <v>41173</v>
      </c>
      <c r="I11" s="29">
        <v>44678</v>
      </c>
      <c r="J11" s="27">
        <f>J31*J4</f>
        <v>45663.6852</v>
      </c>
      <c r="K11" s="27">
        <f>J11*(1+K31)</f>
        <v>48860.143164000001</v>
      </c>
      <c r="L11" s="27">
        <f>K11*(1+L31)</f>
        <v>52280.353185480002</v>
      </c>
      <c r="M11" s="27">
        <f>L11*(1+M31)</f>
        <v>55939.977908463603</v>
      </c>
      <c r="N11" s="27">
        <f>M11*(1+N31)</f>
        <v>59855.776362056058</v>
      </c>
    </row>
    <row r="12" spans="1:14" x14ac:dyDescent="0.3">
      <c r="A12" s="53" t="s">
        <v>10</v>
      </c>
      <c r="B12" s="53"/>
      <c r="C12" s="53"/>
      <c r="D12" s="53"/>
      <c r="E12" s="53"/>
      <c r="F12" s="53"/>
      <c r="G12" s="29">
        <v>150802</v>
      </c>
      <c r="H12" s="29">
        <v>164490</v>
      </c>
      <c r="I12" s="29">
        <v>181706</v>
      </c>
      <c r="J12" s="27">
        <f>J32*J4</f>
        <v>182654.7408</v>
      </c>
      <c r="K12" s="27">
        <f>K32*K4</f>
        <v>197267.12006400002</v>
      </c>
      <c r="L12" s="27">
        <f>L32*L4</f>
        <v>213048.48966912006</v>
      </c>
      <c r="M12" s="27">
        <f>M32*M4</f>
        <v>230092.36884264965</v>
      </c>
      <c r="N12" s="27">
        <f>N32*N4</f>
        <v>248499.75835006163</v>
      </c>
    </row>
    <row r="13" spans="1:14" x14ac:dyDescent="0.3">
      <c r="A13" s="54" t="s">
        <v>11</v>
      </c>
      <c r="B13" s="54"/>
      <c r="C13" s="54"/>
      <c r="D13" s="54"/>
      <c r="E13" s="54"/>
      <c r="F13" s="54"/>
      <c r="G13" s="28">
        <f>SUM(G8:G12)</f>
        <v>367917.37</v>
      </c>
      <c r="H13" s="28">
        <f>SUM(H8:H12)</f>
        <v>377961.06</v>
      </c>
      <c r="I13" s="28">
        <f>SUM(I8:I12)</f>
        <v>408211</v>
      </c>
      <c r="J13" s="28">
        <f>SUM(J8:J12)</f>
        <v>430040.50247561641</v>
      </c>
      <c r="K13" s="28">
        <f t="shared" ref="K13:N13" si="5">SUM(K8:K12)</f>
        <v>461471.84094604931</v>
      </c>
      <c r="L13" s="28">
        <f t="shared" si="5"/>
        <v>497900.98679009336</v>
      </c>
      <c r="M13" s="28">
        <f t="shared" si="5"/>
        <v>537210.26220144599</v>
      </c>
      <c r="N13" s="28">
        <f t="shared" si="5"/>
        <v>579627.68339847703</v>
      </c>
    </row>
    <row r="14" spans="1:14" x14ac:dyDescent="0.3">
      <c r="A14" s="54" t="s">
        <v>60</v>
      </c>
      <c r="B14" s="54"/>
      <c r="C14" s="54"/>
      <c r="D14" s="54"/>
      <c r="E14" s="54"/>
      <c r="F14" s="54"/>
      <c r="G14" s="28">
        <f>G6-G13</f>
        <v>160059.93000000005</v>
      </c>
      <c r="H14" s="28">
        <f>H6-H13</f>
        <v>197733.94</v>
      </c>
      <c r="I14" s="28">
        <f>I6-I13</f>
        <v>209690</v>
      </c>
      <c r="J14" s="28">
        <f>J6-J13</f>
        <v>236390.11752438359</v>
      </c>
      <c r="K14" s="28">
        <f t="shared" ref="K14:N14" si="6">K6-K13</f>
        <v>257357.23175395071</v>
      </c>
      <c r="L14" s="28">
        <f t="shared" si="6"/>
        <v>277504.67487240676</v>
      </c>
      <c r="M14" s="28">
        <f t="shared" si="6"/>
        <v>299284.16948775155</v>
      </c>
      <c r="N14" s="28">
        <f t="shared" si="6"/>
        <v>322828.46467595943</v>
      </c>
    </row>
    <row r="15" spans="1:14" x14ac:dyDescent="0.3">
      <c r="A15" s="53" t="s">
        <v>61</v>
      </c>
      <c r="B15" s="53"/>
      <c r="C15" s="53"/>
      <c r="D15" s="53"/>
      <c r="E15" s="53"/>
      <c r="F15" s="53"/>
      <c r="G15" s="29">
        <v>1120.8699999999999</v>
      </c>
      <c r="H15" s="29">
        <v>1950.2</v>
      </c>
      <c r="I15" s="29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</row>
    <row r="16" spans="1:14" s="3" customFormat="1" x14ac:dyDescent="0.3">
      <c r="A16" s="54" t="s">
        <v>13</v>
      </c>
      <c r="B16" s="54"/>
      <c r="C16" s="54"/>
      <c r="D16" s="54"/>
      <c r="E16" s="54"/>
      <c r="F16" s="54"/>
      <c r="G16" s="28">
        <f>G14-G15</f>
        <v>158939.06000000006</v>
      </c>
      <c r="H16" s="28">
        <f>H14-H15</f>
        <v>195783.74</v>
      </c>
      <c r="I16" s="28">
        <f t="shared" ref="I16" si="7">I6-I13</f>
        <v>209690</v>
      </c>
      <c r="J16" s="28">
        <f>J14-J15</f>
        <v>236390.11752438359</v>
      </c>
      <c r="K16" s="28">
        <f t="shared" ref="K16:N16" si="8">K14-K15</f>
        <v>257357.23175395071</v>
      </c>
      <c r="L16" s="28">
        <f t="shared" si="8"/>
        <v>277504.67487240676</v>
      </c>
      <c r="M16" s="28">
        <f t="shared" si="8"/>
        <v>299284.16948775155</v>
      </c>
      <c r="N16" s="28">
        <f t="shared" si="8"/>
        <v>322828.46467595943</v>
      </c>
    </row>
    <row r="17" spans="1:14" x14ac:dyDescent="0.3">
      <c r="A17" s="53" t="s">
        <v>12</v>
      </c>
      <c r="B17" s="53"/>
      <c r="C17" s="53"/>
      <c r="D17" s="53"/>
      <c r="E17" s="53"/>
      <c r="F17" s="53"/>
      <c r="G17" s="26">
        <v>17480.37</v>
      </c>
      <c r="H17" s="26">
        <v>17151.05</v>
      </c>
      <c r="I17" s="26">
        <v>16274</v>
      </c>
      <c r="J17" s="49">
        <f>'Dep Capex'!I12</f>
        <v>13199.820000000002</v>
      </c>
      <c r="K17" s="49">
        <f>'Dep Capex'!J12</f>
        <v>12397.518375599999</v>
      </c>
      <c r="L17" s="49">
        <f>'Dep Capex'!K12</f>
        <v>11846.941449395998</v>
      </c>
      <c r="M17" s="49">
        <f>'Dep Capex'!L12</f>
        <v>11546.607915272803</v>
      </c>
      <c r="N17" s="49">
        <f>'Dep Capex'!M12</f>
        <v>11399.770766613054</v>
      </c>
    </row>
    <row r="18" spans="1:14" s="3" customFormat="1" x14ac:dyDescent="0.3">
      <c r="A18" s="54" t="s">
        <v>16</v>
      </c>
      <c r="B18" s="54"/>
      <c r="C18" s="54"/>
      <c r="D18" s="54"/>
      <c r="E18" s="54"/>
      <c r="F18" s="54"/>
      <c r="G18" s="28">
        <f>G16-G17</f>
        <v>141458.69000000006</v>
      </c>
      <c r="H18" s="28">
        <f t="shared" ref="H18:I18" si="9">H16-H17</f>
        <v>178632.69</v>
      </c>
      <c r="I18" s="28">
        <f t="shared" si="9"/>
        <v>193416</v>
      </c>
      <c r="J18" s="28">
        <f>J16-J17</f>
        <v>223190.29752438358</v>
      </c>
      <c r="K18" s="28">
        <f t="shared" ref="K18:N18" si="10">K16-K17</f>
        <v>244959.71337835072</v>
      </c>
      <c r="L18" s="28">
        <f t="shared" si="10"/>
        <v>265657.73342301074</v>
      </c>
      <c r="M18" s="28">
        <f t="shared" si="10"/>
        <v>287737.56157247873</v>
      </c>
      <c r="N18" s="28">
        <f t="shared" si="10"/>
        <v>311428.69390934636</v>
      </c>
    </row>
    <row r="19" spans="1:14" x14ac:dyDescent="0.3">
      <c r="A19" s="53" t="s">
        <v>14</v>
      </c>
      <c r="B19" s="53"/>
      <c r="C19" s="53"/>
      <c r="D19" s="53"/>
      <c r="E19" s="53"/>
      <c r="F19" s="53"/>
      <c r="G19" s="26">
        <v>491.38</v>
      </c>
      <c r="H19" s="26">
        <v>499.63</v>
      </c>
      <c r="I19" s="26">
        <v>432</v>
      </c>
      <c r="J19" s="27">
        <f>J4*J34</f>
        <v>554.48760599999991</v>
      </c>
      <c r="K19" s="27">
        <f>K4*K34</f>
        <v>598.84661447999997</v>
      </c>
      <c r="L19" s="27">
        <f>L4*L34</f>
        <v>646.75434363840009</v>
      </c>
      <c r="M19" s="27">
        <f>M4*M34</f>
        <v>698.49469112947202</v>
      </c>
      <c r="N19" s="27">
        <f>N4*N34</f>
        <v>754.37426641982984</v>
      </c>
    </row>
    <row r="20" spans="1:14" x14ac:dyDescent="0.3">
      <c r="A20" s="54" t="s">
        <v>15</v>
      </c>
      <c r="B20" s="54"/>
      <c r="C20" s="54"/>
      <c r="D20" s="54"/>
      <c r="E20" s="54"/>
      <c r="F20" s="54"/>
      <c r="G20" s="28">
        <f>G18-G19</f>
        <v>140967.31000000006</v>
      </c>
      <c r="H20" s="28">
        <f t="shared" ref="H20:I20" si="11">H18-H19</f>
        <v>178133.06</v>
      </c>
      <c r="I20" s="28">
        <f t="shared" si="11"/>
        <v>192984</v>
      </c>
      <c r="J20" s="28">
        <f>J18-J19</f>
        <v>222635.80991838357</v>
      </c>
      <c r="K20" s="28">
        <f t="shared" ref="K20:N20" si="12">K18-K19</f>
        <v>244360.86676387073</v>
      </c>
      <c r="L20" s="28">
        <f t="shared" si="12"/>
        <v>265010.97907937237</v>
      </c>
      <c r="M20" s="28">
        <f t="shared" si="12"/>
        <v>287039.06688134925</v>
      </c>
      <c r="N20" s="28">
        <f t="shared" si="12"/>
        <v>310674.31964292651</v>
      </c>
    </row>
    <row r="21" spans="1:14" x14ac:dyDescent="0.3">
      <c r="A21" s="53" t="s">
        <v>17</v>
      </c>
      <c r="B21" s="53"/>
      <c r="C21" s="53"/>
      <c r="D21" s="53"/>
      <c r="E21" s="53"/>
      <c r="F21" s="53"/>
      <c r="G21" s="26">
        <v>36252.620000000003</v>
      </c>
      <c r="H21" s="26">
        <v>45766.559999999998</v>
      </c>
      <c r="I21" s="26">
        <v>49303</v>
      </c>
      <c r="J21" s="27">
        <f>J20*J35</f>
        <v>56772.131529187813</v>
      </c>
      <c r="K21" s="27">
        <f>K20*K35</f>
        <v>62312.021024787035</v>
      </c>
      <c r="L21" s="27">
        <f>L20*L35</f>
        <v>67577.79966523996</v>
      </c>
      <c r="M21" s="27">
        <f>M20*M35</f>
        <v>73194.962054744057</v>
      </c>
      <c r="N21" s="27">
        <f>N20*N35</f>
        <v>79221.951508946266</v>
      </c>
    </row>
    <row r="22" spans="1:14" s="3" customFormat="1" x14ac:dyDescent="0.3">
      <c r="A22" s="54" t="s">
        <v>18</v>
      </c>
      <c r="B22" s="54"/>
      <c r="C22" s="54"/>
      <c r="D22" s="54"/>
      <c r="E22" s="54"/>
      <c r="F22" s="54"/>
      <c r="G22" s="28">
        <f>G20-G21</f>
        <v>104714.69000000006</v>
      </c>
      <c r="H22" s="28">
        <f>H20-H21</f>
        <v>132366.5</v>
      </c>
      <c r="I22" s="28">
        <f t="shared" ref="I22" si="13">I20-I21</f>
        <v>143681</v>
      </c>
      <c r="J22" s="28">
        <f>J20-J21</f>
        <v>165863.67838919576</v>
      </c>
      <c r="K22" s="28">
        <f t="shared" ref="K22:N22" si="14">K20-K21</f>
        <v>182048.84573908368</v>
      </c>
      <c r="L22" s="28">
        <f t="shared" si="14"/>
        <v>197433.17941413241</v>
      </c>
      <c r="M22" s="28">
        <f t="shared" si="14"/>
        <v>213844.10482660518</v>
      </c>
      <c r="N22" s="28">
        <f t="shared" si="14"/>
        <v>231452.36813398026</v>
      </c>
    </row>
    <row r="23" spans="1:14" x14ac:dyDescent="0.3">
      <c r="G23" s="30"/>
      <c r="H23" s="30"/>
      <c r="I23" s="30"/>
      <c r="J23" s="27"/>
      <c r="K23" s="27"/>
      <c r="L23" s="27"/>
      <c r="M23" s="27"/>
      <c r="N23" s="27"/>
    </row>
    <row r="24" spans="1:14" x14ac:dyDescent="0.3">
      <c r="A24" s="54" t="s">
        <v>64</v>
      </c>
      <c r="B24" s="54"/>
      <c r="C24" s="54"/>
      <c r="D24" s="54"/>
      <c r="E24" s="54"/>
      <c r="F24" s="54"/>
      <c r="G24" s="27"/>
      <c r="H24" s="27"/>
      <c r="I24" s="27"/>
      <c r="J24" s="27"/>
      <c r="K24" s="27"/>
      <c r="L24" s="27"/>
      <c r="M24" s="27"/>
      <c r="N24" s="27"/>
    </row>
    <row r="25" spans="1:14" x14ac:dyDescent="0.3">
      <c r="A25" s="53" t="s">
        <v>65</v>
      </c>
      <c r="B25" s="53"/>
      <c r="C25" s="53"/>
      <c r="D25" s="53"/>
      <c r="E25" s="53"/>
      <c r="F25" s="53"/>
      <c r="G25" s="31"/>
      <c r="H25" s="31">
        <f>H4/G4-1</f>
        <v>8.6914613304576616E-2</v>
      </c>
      <c r="I25" s="31">
        <f>I4/H4-1</f>
        <v>6.3329712715410658E-2</v>
      </c>
      <c r="J25" s="31">
        <v>0.08</v>
      </c>
      <c r="K25" s="31">
        <v>0.08</v>
      </c>
      <c r="L25" s="31">
        <v>0.08</v>
      </c>
      <c r="M25" s="31">
        <v>0.08</v>
      </c>
      <c r="N25" s="31">
        <v>0.08</v>
      </c>
    </row>
    <row r="26" spans="1:14" x14ac:dyDescent="0.3">
      <c r="A26" s="53" t="s">
        <v>66</v>
      </c>
      <c r="B26" s="53"/>
      <c r="C26" s="53"/>
      <c r="D26" s="53"/>
      <c r="E26" s="53"/>
      <c r="F26" s="53"/>
      <c r="G26" s="32">
        <f>G5/G4</f>
        <v>1.0251412064041749E-2</v>
      </c>
      <c r="H26" s="30">
        <f>H5/H4</f>
        <v>1.3470811188589596E-2</v>
      </c>
      <c r="I26" s="30">
        <f>I5/I4</f>
        <v>2.2986108006893845E-2</v>
      </c>
      <c r="J26" s="30">
        <v>1.4999999999999999E-2</v>
      </c>
      <c r="K26" s="30">
        <v>1.4999999999999999E-2</v>
      </c>
      <c r="L26" s="30">
        <v>1.4999999999999999E-2</v>
      </c>
      <c r="M26" s="30">
        <v>1.4999999999999999E-2</v>
      </c>
      <c r="N26" s="30">
        <v>1.4999999999999999E-2</v>
      </c>
    </row>
    <row r="27" spans="1:14" x14ac:dyDescent="0.3">
      <c r="G27" s="27"/>
      <c r="H27" s="27"/>
      <c r="I27" s="27"/>
      <c r="J27" s="27"/>
      <c r="K27" s="27"/>
      <c r="L27" s="27"/>
      <c r="M27" s="27"/>
      <c r="N27" s="27"/>
    </row>
    <row r="28" spans="1:14" x14ac:dyDescent="0.3">
      <c r="A28" s="54" t="s">
        <v>104</v>
      </c>
      <c r="B28" s="54"/>
      <c r="C28" s="54"/>
      <c r="D28" s="54"/>
      <c r="E28" s="54"/>
      <c r="F28" s="54"/>
      <c r="G28" s="27"/>
      <c r="H28" s="27"/>
      <c r="I28" s="27"/>
      <c r="J28" s="27"/>
      <c r="K28" s="27"/>
      <c r="L28" s="27"/>
      <c r="M28" s="27"/>
      <c r="N28" s="27"/>
    </row>
    <row r="29" spans="1:14" x14ac:dyDescent="0.3">
      <c r="A29" s="53" t="s">
        <v>59</v>
      </c>
      <c r="B29" s="53"/>
      <c r="C29" s="53"/>
      <c r="D29" s="53"/>
      <c r="E29" s="53"/>
      <c r="F29" s="53"/>
      <c r="G29" s="30">
        <f>G8/G4</f>
        <v>0.28557970000786992</v>
      </c>
      <c r="H29" s="30">
        <f t="shared" ref="H29:I29" si="15">H8/H4</f>
        <v>0.25659805683724651</v>
      </c>
      <c r="I29" s="30">
        <f t="shared" si="15"/>
        <v>0.26143469471885727</v>
      </c>
      <c r="J29" s="30">
        <v>0.26</v>
      </c>
      <c r="K29" s="30">
        <v>0.26</v>
      </c>
      <c r="L29" s="30">
        <v>0.26</v>
      </c>
      <c r="M29" s="30">
        <v>0.26</v>
      </c>
      <c r="N29" s="30">
        <v>0.26</v>
      </c>
    </row>
    <row r="30" spans="1:14" x14ac:dyDescent="0.3">
      <c r="A30" s="53" t="s">
        <v>58</v>
      </c>
      <c r="B30" s="53"/>
      <c r="C30" s="53"/>
      <c r="D30" s="53"/>
      <c r="E30" s="53"/>
      <c r="F30" s="53"/>
      <c r="G30" s="30">
        <f>G9/G4</f>
        <v>5.6976151932731353E-2</v>
      </c>
      <c r="H30" s="30">
        <f t="shared" ref="H30:I30" si="16">H9/H4</f>
        <v>4.3115274723920551E-2</v>
      </c>
      <c r="I30" s="30">
        <f t="shared" si="16"/>
        <v>5.1299880632498754E-2</v>
      </c>
      <c r="J30" s="30">
        <v>0.05</v>
      </c>
      <c r="K30" s="30">
        <v>0.05</v>
      </c>
      <c r="L30" s="30">
        <v>0.05</v>
      </c>
      <c r="M30" s="30">
        <v>0.05</v>
      </c>
      <c r="N30" s="30">
        <v>0.05</v>
      </c>
    </row>
    <row r="31" spans="1:14" x14ac:dyDescent="0.3">
      <c r="A31" s="53" t="s">
        <v>9</v>
      </c>
      <c r="B31" s="53"/>
      <c r="C31" s="53"/>
      <c r="D31" s="53"/>
      <c r="E31" s="53"/>
      <c r="F31" s="53"/>
      <c r="G31" s="30">
        <f>G11/G4</f>
        <v>7.2130823385899462E-2</v>
      </c>
      <c r="H31" s="30">
        <f t="shared" ref="H31:I31" si="17">H11/H4</f>
        <v>7.2482188848379439E-2</v>
      </c>
      <c r="I31" s="30">
        <f t="shared" si="17"/>
        <v>7.3968116791414809E-2</v>
      </c>
      <c r="J31" s="30">
        <v>7.0000000000000007E-2</v>
      </c>
      <c r="K31" s="30">
        <v>7.0000000000000007E-2</v>
      </c>
      <c r="L31" s="30">
        <v>7.0000000000000007E-2</v>
      </c>
      <c r="M31" s="30">
        <v>7.0000000000000007E-2</v>
      </c>
      <c r="N31" s="30">
        <v>7.0000000000000007E-2</v>
      </c>
    </row>
    <row r="32" spans="1:14" x14ac:dyDescent="0.3">
      <c r="A32" s="53" t="s">
        <v>10</v>
      </c>
      <c r="B32" s="53"/>
      <c r="C32" s="53"/>
      <c r="D32" s="53"/>
      <c r="E32" s="53"/>
      <c r="F32" s="53"/>
      <c r="G32" s="30">
        <f>G12/G4</f>
        <v>0.28855015820203184</v>
      </c>
      <c r="H32" s="30">
        <f t="shared" ref="H32:I32" si="18">H12/H4</f>
        <v>0.28957314851164434</v>
      </c>
      <c r="I32" s="30">
        <f t="shared" si="18"/>
        <v>0.30082928129506287</v>
      </c>
      <c r="J32" s="30">
        <v>0.28000000000000003</v>
      </c>
      <c r="K32" s="30">
        <v>0.28000000000000003</v>
      </c>
      <c r="L32" s="30">
        <v>0.28000000000000003</v>
      </c>
      <c r="M32" s="30">
        <v>0.28000000000000003</v>
      </c>
      <c r="N32" s="30">
        <v>0.28000000000000003</v>
      </c>
    </row>
    <row r="33" spans="1:14" x14ac:dyDescent="0.3">
      <c r="G33" s="27"/>
      <c r="H33" s="27"/>
      <c r="I33" s="27"/>
      <c r="J33" s="27"/>
      <c r="K33" s="27"/>
      <c r="L33" s="27"/>
      <c r="M33" s="27"/>
      <c r="N33" s="27"/>
    </row>
    <row r="34" spans="1:14" x14ac:dyDescent="0.3">
      <c r="A34" s="53" t="s">
        <v>91</v>
      </c>
      <c r="B34" s="53"/>
      <c r="C34" s="53"/>
      <c r="D34" s="53"/>
      <c r="E34" s="53"/>
      <c r="F34" s="53"/>
      <c r="G34" s="33">
        <f>G19/G4</f>
        <v>9.4022477644404179E-4</v>
      </c>
      <c r="H34" s="33">
        <f t="shared" ref="H34:I34" si="19">H19/H4</f>
        <v>8.7956369500196286E-4</v>
      </c>
      <c r="I34" s="33">
        <f t="shared" si="19"/>
        <v>7.1521165795002453E-4</v>
      </c>
      <c r="J34" s="33">
        <v>8.4999999999999995E-4</v>
      </c>
      <c r="K34" s="33">
        <v>8.4999999999999995E-4</v>
      </c>
      <c r="L34" s="33">
        <v>8.4999999999999995E-4</v>
      </c>
      <c r="M34" s="33">
        <v>8.4999999999999995E-4</v>
      </c>
      <c r="N34" s="33">
        <v>8.4999999999999995E-4</v>
      </c>
    </row>
    <row r="35" spans="1:14" x14ac:dyDescent="0.3">
      <c r="A35" s="53" t="s">
        <v>92</v>
      </c>
      <c r="B35" s="53"/>
      <c r="C35" s="53"/>
      <c r="D35" s="53"/>
      <c r="E35" s="53"/>
      <c r="F35" s="53"/>
      <c r="G35" s="32">
        <f>G21/G20</f>
        <v>0.25717040354958881</v>
      </c>
      <c r="H35" s="32">
        <f t="shared" ref="H35:I35" si="20">H21/H20</f>
        <v>0.25692344812355439</v>
      </c>
      <c r="I35" s="32">
        <f t="shared" si="20"/>
        <v>0.2554771380010778</v>
      </c>
      <c r="J35" s="32">
        <v>0.255</v>
      </c>
      <c r="K35" s="32">
        <v>0.255</v>
      </c>
      <c r="L35" s="32">
        <v>0.255</v>
      </c>
      <c r="M35" s="32">
        <v>0.255</v>
      </c>
      <c r="N35" s="32">
        <v>0.255</v>
      </c>
    </row>
    <row r="36" spans="1:14" x14ac:dyDescent="0.3">
      <c r="G36" s="25"/>
      <c r="H36" s="25"/>
      <c r="I36" s="25"/>
      <c r="J36" s="25"/>
      <c r="K36" s="25"/>
      <c r="L36" s="25"/>
      <c r="M36" s="25"/>
      <c r="N36" s="25"/>
    </row>
  </sheetData>
  <mergeCells count="33">
    <mergeCell ref="J1:N2"/>
    <mergeCell ref="A1:F2"/>
    <mergeCell ref="A3:F3"/>
    <mergeCell ref="A4:F4"/>
    <mergeCell ref="A5:F5"/>
    <mergeCell ref="A6:F6"/>
    <mergeCell ref="A7:F7"/>
    <mergeCell ref="A8:F8"/>
    <mergeCell ref="G1:I2"/>
    <mergeCell ref="A9:F9"/>
    <mergeCell ref="A10:F10"/>
    <mergeCell ref="A11:F11"/>
    <mergeCell ref="A12:F12"/>
    <mergeCell ref="A13:F13"/>
    <mergeCell ref="A19:F19"/>
    <mergeCell ref="A20:F20"/>
    <mergeCell ref="A21:F21"/>
    <mergeCell ref="A22:F22"/>
    <mergeCell ref="A14:F14"/>
    <mergeCell ref="A15:F15"/>
    <mergeCell ref="A16:F16"/>
    <mergeCell ref="A17:F17"/>
    <mergeCell ref="A18:F18"/>
    <mergeCell ref="A24:F24"/>
    <mergeCell ref="A25:F25"/>
    <mergeCell ref="A26:F26"/>
    <mergeCell ref="A28:F28"/>
    <mergeCell ref="A29:F29"/>
    <mergeCell ref="A35:F35"/>
    <mergeCell ref="A30:F30"/>
    <mergeCell ref="A31:F31"/>
    <mergeCell ref="A32:F32"/>
    <mergeCell ref="A34:F34"/>
  </mergeCells>
  <pageMargins left="0.7" right="0.7" top="0.75" bottom="0.75" header="0.3" footer="0.3"/>
  <ignoredErrors>
    <ignoredError sqref="G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B44A-BEF7-4C8A-8BD2-8C41A097C678}">
  <dimension ref="A1:AO80"/>
  <sheetViews>
    <sheetView topLeftCell="A2" zoomScale="77" zoomScaleNormal="100" workbookViewId="0">
      <selection activeCell="G57" sqref="G57"/>
    </sheetView>
  </sheetViews>
  <sheetFormatPr defaultRowHeight="14.4" x14ac:dyDescent="0.3"/>
  <cols>
    <col min="6" max="6" width="14.21875" customWidth="1"/>
    <col min="7" max="7" width="17.5546875" customWidth="1"/>
    <col min="8" max="8" width="15.5546875" customWidth="1"/>
    <col min="9" max="10" width="10.44140625" bestFit="1" customWidth="1"/>
    <col min="11" max="11" width="10.6640625" bestFit="1" customWidth="1"/>
    <col min="12" max="12" width="12.5546875" customWidth="1"/>
    <col min="13" max="13" width="11" bestFit="1" customWidth="1"/>
  </cols>
  <sheetData>
    <row r="1" spans="1:27" x14ac:dyDescent="0.3">
      <c r="A1" s="63" t="s">
        <v>19</v>
      </c>
      <c r="B1" s="63"/>
      <c r="C1" s="63"/>
      <c r="D1" s="63"/>
      <c r="E1" s="63"/>
      <c r="F1" s="55" t="s">
        <v>2</v>
      </c>
      <c r="G1" s="55"/>
      <c r="H1" s="55"/>
      <c r="I1" s="55" t="s">
        <v>3</v>
      </c>
      <c r="J1" s="55"/>
      <c r="K1" s="55"/>
      <c r="L1" s="55"/>
      <c r="M1" s="55"/>
    </row>
    <row r="2" spans="1:27" x14ac:dyDescent="0.3">
      <c r="A2" s="63"/>
      <c r="B2" s="63"/>
      <c r="C2" s="63"/>
      <c r="D2" s="63"/>
      <c r="E2" s="63"/>
      <c r="F2" s="56"/>
      <c r="G2" s="56"/>
      <c r="H2" s="56"/>
      <c r="I2" s="56"/>
      <c r="J2" s="56"/>
      <c r="K2" s="56"/>
      <c r="L2" s="56"/>
      <c r="M2" s="56"/>
    </row>
    <row r="3" spans="1:27" x14ac:dyDescent="0.3">
      <c r="A3" s="15" t="s">
        <v>20</v>
      </c>
      <c r="B3" s="15"/>
      <c r="C3" s="15"/>
      <c r="D3" s="15"/>
      <c r="E3" s="15"/>
      <c r="F3" s="43">
        <v>2023</v>
      </c>
      <c r="G3" s="43">
        <v>2024</v>
      </c>
      <c r="H3" s="43">
        <v>2025</v>
      </c>
      <c r="I3" s="43">
        <v>2026</v>
      </c>
      <c r="J3" s="43">
        <v>2027</v>
      </c>
      <c r="K3" s="43">
        <v>2028</v>
      </c>
      <c r="L3" s="43">
        <v>2029</v>
      </c>
      <c r="M3" s="43">
        <v>2030</v>
      </c>
    </row>
    <row r="4" spans="1:27" x14ac:dyDescent="0.3">
      <c r="A4" s="64" t="s">
        <v>21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27" x14ac:dyDescent="0.3">
      <c r="A5" s="54" t="s">
        <v>22</v>
      </c>
      <c r="B5" s="54"/>
      <c r="C5" s="54"/>
      <c r="D5" s="54"/>
      <c r="E5" s="54"/>
      <c r="F5" s="2"/>
      <c r="G5" s="2"/>
      <c r="H5" s="2"/>
      <c r="I5" s="2"/>
      <c r="J5" s="2"/>
      <c r="K5" s="2"/>
      <c r="L5" s="2"/>
      <c r="M5" s="2"/>
    </row>
    <row r="6" spans="1:27" x14ac:dyDescent="0.3">
      <c r="A6" s="53" t="s">
        <v>23</v>
      </c>
      <c r="B6" s="53"/>
      <c r="C6" s="53"/>
      <c r="D6" s="53"/>
      <c r="E6" s="53"/>
      <c r="F6" s="23">
        <v>86179.92</v>
      </c>
      <c r="G6" s="23">
        <v>79407</v>
      </c>
      <c r="H6" s="23">
        <v>77646</v>
      </c>
      <c r="I6" s="48">
        <f>'Dep Capex'!I13</f>
        <v>72926.578679999991</v>
      </c>
      <c r="J6" s="48">
        <f>'Dep Capex'!J13</f>
        <v>69687.890878799983</v>
      </c>
      <c r="K6" s="48">
        <f>'Dep Capex'!K13</f>
        <v>67921.223031016489</v>
      </c>
      <c r="L6" s="48">
        <f>'Dep Capex'!L13</f>
        <v>67057.475097723844</v>
      </c>
      <c r="M6" s="48">
        <f>'Dep Capex'!M13</f>
        <v>67195.193111649365</v>
      </c>
    </row>
    <row r="7" spans="1:27" x14ac:dyDescent="0.3">
      <c r="A7" s="53" t="s">
        <v>24</v>
      </c>
      <c r="B7" s="53"/>
      <c r="C7" s="53"/>
      <c r="D7" s="53"/>
      <c r="E7" s="53"/>
      <c r="F7" s="23">
        <v>11407.68</v>
      </c>
      <c r="G7" s="23">
        <v>11028</v>
      </c>
      <c r="H7" s="23">
        <v>3841</v>
      </c>
      <c r="I7" s="48">
        <f>CWIP!B9</f>
        <v>1272.059802</v>
      </c>
      <c r="J7" s="48">
        <f>CWIP!C9</f>
        <v>1373.8245861599999</v>
      </c>
      <c r="K7" s="48">
        <f>CWIP!D9</f>
        <v>1512.0410402418752</v>
      </c>
      <c r="L7" s="48">
        <f>CWIP!E9</f>
        <v>1602.4289972970239</v>
      </c>
      <c r="M7" s="48">
        <f>CWIP!F9</f>
        <v>1730.6233170807861</v>
      </c>
    </row>
    <row r="8" spans="1:27" x14ac:dyDescent="0.3">
      <c r="A8" s="53" t="s">
        <v>25</v>
      </c>
      <c r="B8" s="53"/>
      <c r="C8" s="53"/>
      <c r="D8" s="53"/>
      <c r="E8" s="53"/>
      <c r="F8" s="21"/>
      <c r="G8" s="21"/>
      <c r="H8" s="21"/>
      <c r="I8" s="48"/>
      <c r="J8" s="48"/>
      <c r="K8" s="48"/>
      <c r="L8" s="48"/>
      <c r="M8" s="48"/>
    </row>
    <row r="9" spans="1:27" x14ac:dyDescent="0.3">
      <c r="A9" s="53" t="s">
        <v>26</v>
      </c>
      <c r="B9" s="53"/>
      <c r="C9" s="53"/>
      <c r="D9" s="53"/>
      <c r="E9" s="53"/>
      <c r="F9" s="23">
        <v>92.02</v>
      </c>
      <c r="G9" s="23">
        <v>97</v>
      </c>
      <c r="H9" s="23">
        <v>120</v>
      </c>
      <c r="I9" s="48">
        <f>FA!C6</f>
        <v>126</v>
      </c>
      <c r="J9" s="48">
        <f>FA!D6</f>
        <v>132.30000000000001</v>
      </c>
      <c r="K9" s="48">
        <f>FA!E6</f>
        <v>138.91500000000002</v>
      </c>
      <c r="L9" s="48">
        <f>FA!F6</f>
        <v>145.86075000000002</v>
      </c>
      <c r="M9" s="48">
        <f>FA!G6</f>
        <v>153.15378750000002</v>
      </c>
    </row>
    <row r="10" spans="1:27" x14ac:dyDescent="0.3">
      <c r="A10" s="53" t="s">
        <v>27</v>
      </c>
      <c r="B10" s="53"/>
      <c r="C10" s="53"/>
      <c r="D10" s="53"/>
      <c r="E10" s="53"/>
      <c r="F10" s="23">
        <v>1853.97</v>
      </c>
      <c r="G10" s="23">
        <v>1682</v>
      </c>
      <c r="H10" s="23">
        <v>1783</v>
      </c>
      <c r="I10" s="48">
        <f>FA!C9</f>
        <v>1872.15</v>
      </c>
      <c r="J10" s="48">
        <f>FA!D9</f>
        <v>1965.7575000000002</v>
      </c>
      <c r="K10" s="48">
        <f>FA!E9</f>
        <v>2064.0453750000001</v>
      </c>
      <c r="L10" s="48">
        <f>FA!F9</f>
        <v>2167.2476437500004</v>
      </c>
      <c r="M10" s="48">
        <f>FA!G9</f>
        <v>2275.6100259375007</v>
      </c>
    </row>
    <row r="11" spans="1:27" x14ac:dyDescent="0.3">
      <c r="A11" s="53" t="s">
        <v>28</v>
      </c>
      <c r="B11" s="53"/>
      <c r="C11" s="53"/>
      <c r="D11" s="53"/>
      <c r="E11" s="53"/>
      <c r="F11" s="23">
        <v>2884.26</v>
      </c>
      <c r="G11" s="23">
        <v>6476</v>
      </c>
      <c r="H11" s="23">
        <v>6795</v>
      </c>
      <c r="I11" s="48">
        <f t="shared" ref="I11:M13" si="0">H11*(1+I55)</f>
        <v>7066.8</v>
      </c>
      <c r="J11" s="48">
        <f t="shared" si="0"/>
        <v>7349.4720000000007</v>
      </c>
      <c r="K11" s="48">
        <f t="shared" si="0"/>
        <v>7643.4508800000012</v>
      </c>
      <c r="L11" s="48">
        <f t="shared" si="0"/>
        <v>7949.1889152000012</v>
      </c>
      <c r="M11" s="48">
        <f t="shared" si="0"/>
        <v>8267.1564718080008</v>
      </c>
    </row>
    <row r="12" spans="1:27" x14ac:dyDescent="0.3">
      <c r="A12" s="53" t="s">
        <v>29</v>
      </c>
      <c r="B12" s="53"/>
      <c r="C12" s="53"/>
      <c r="D12" s="53"/>
      <c r="E12" s="53"/>
      <c r="F12" s="23">
        <v>1303.74</v>
      </c>
      <c r="G12" s="23">
        <v>793</v>
      </c>
      <c r="H12" s="23">
        <v>897</v>
      </c>
      <c r="I12" s="48">
        <f t="shared" si="0"/>
        <v>941.85</v>
      </c>
      <c r="J12" s="48">
        <f t="shared" si="0"/>
        <v>988.94250000000011</v>
      </c>
      <c r="K12" s="48">
        <f t="shared" si="0"/>
        <v>1038.3896250000003</v>
      </c>
      <c r="L12" s="48">
        <f t="shared" si="0"/>
        <v>1090.3091062500002</v>
      </c>
      <c r="M12" s="48">
        <f t="shared" si="0"/>
        <v>1144.8245615625003</v>
      </c>
    </row>
    <row r="13" spans="1:27" x14ac:dyDescent="0.3">
      <c r="A13" s="53" t="s">
        <v>30</v>
      </c>
      <c r="B13" s="53"/>
      <c r="C13" s="53"/>
      <c r="D13" s="53"/>
      <c r="E13" s="53"/>
      <c r="F13" s="23">
        <v>29788.98</v>
      </c>
      <c r="G13" s="23">
        <v>29789</v>
      </c>
      <c r="H13" s="23">
        <v>34502</v>
      </c>
      <c r="I13" s="48">
        <f t="shared" si="0"/>
        <v>37262.160000000003</v>
      </c>
      <c r="J13" s="48">
        <f t="shared" si="0"/>
        <v>40243.132800000007</v>
      </c>
      <c r="K13" s="48">
        <f t="shared" si="0"/>
        <v>43462.583424000011</v>
      </c>
      <c r="L13" s="48">
        <f t="shared" si="0"/>
        <v>46939.590097920016</v>
      </c>
      <c r="M13" s="48">
        <f t="shared" si="0"/>
        <v>50694.757305753621</v>
      </c>
    </row>
    <row r="14" spans="1:27" x14ac:dyDescent="0.3">
      <c r="A14" s="53"/>
      <c r="B14" s="53"/>
      <c r="C14" s="53"/>
      <c r="D14" s="53"/>
      <c r="E14" s="53"/>
      <c r="F14" s="34">
        <f>SUM(F6:F13)</f>
        <v>133510.57</v>
      </c>
      <c r="G14" s="34">
        <f>SUM(G6:G13)</f>
        <v>129272</v>
      </c>
      <c r="H14" s="34">
        <f>SUM(H6:H13)</f>
        <v>125584</v>
      </c>
      <c r="I14" s="34">
        <f t="shared" ref="I14:M14" si="1">SUM(I6:I13)</f>
        <v>121467.598482</v>
      </c>
      <c r="J14" s="34">
        <f t="shared" si="1"/>
        <v>121741.32026496</v>
      </c>
      <c r="K14" s="34">
        <f t="shared" si="1"/>
        <v>123780.64837525837</v>
      </c>
      <c r="L14" s="34">
        <f t="shared" si="1"/>
        <v>126952.1006081409</v>
      </c>
      <c r="M14" s="34">
        <f t="shared" si="1"/>
        <v>131461.31858129177</v>
      </c>
    </row>
    <row r="15" spans="1:27" x14ac:dyDescent="0.3">
      <c r="A15" s="54" t="s">
        <v>31</v>
      </c>
      <c r="B15" s="54"/>
      <c r="C15" s="54"/>
      <c r="D15" s="54"/>
      <c r="E15" s="54"/>
      <c r="F15" s="21"/>
      <c r="G15" s="21"/>
      <c r="H15" s="21"/>
      <c r="I15" s="21"/>
      <c r="J15" s="21"/>
      <c r="K15" s="21"/>
      <c r="L15" s="21"/>
      <c r="M15" s="21"/>
    </row>
    <row r="16" spans="1:27" x14ac:dyDescent="0.3">
      <c r="A16" s="53" t="s">
        <v>32</v>
      </c>
      <c r="B16" s="53"/>
      <c r="C16" s="53"/>
      <c r="D16" s="53"/>
      <c r="E16" s="53"/>
      <c r="F16" s="23">
        <v>33544.959999999999</v>
      </c>
      <c r="G16" s="23">
        <v>29641</v>
      </c>
      <c r="H16" s="23">
        <v>37726</v>
      </c>
      <c r="I16" s="48">
        <f>'Working Capital'!I7</f>
        <v>38228.81512438356</v>
      </c>
      <c r="J16" s="48">
        <f>'Working Capital'!J7</f>
        <v>41287.120334334242</v>
      </c>
      <c r="K16" s="48">
        <f>'Working Capital'!K7</f>
        <v>44590.089961080987</v>
      </c>
      <c r="L16" s="48">
        <f>'Working Capital'!L7</f>
        <v>48157.29715796747</v>
      </c>
      <c r="M16" s="48">
        <f>'Working Capital'!M7</f>
        <v>52009.880930604872</v>
      </c>
      <c r="U16" s="2"/>
      <c r="V16" s="2"/>
      <c r="W16" s="2"/>
      <c r="X16" s="2"/>
      <c r="Y16" s="2"/>
      <c r="Z16" s="2"/>
      <c r="AA16" s="2"/>
    </row>
    <row r="17" spans="1:18" x14ac:dyDescent="0.3">
      <c r="A17" s="53" t="s">
        <v>25</v>
      </c>
      <c r="B17" s="53"/>
      <c r="C17" s="53"/>
      <c r="D17" s="53"/>
      <c r="E17" s="53"/>
      <c r="F17" s="21"/>
      <c r="G17" s="21"/>
      <c r="H17" s="21"/>
      <c r="I17" s="48"/>
      <c r="J17" s="48"/>
      <c r="K17" s="48"/>
      <c r="L17" s="48"/>
      <c r="M17" s="48"/>
    </row>
    <row r="18" spans="1:18" x14ac:dyDescent="0.3">
      <c r="A18" s="53" t="s">
        <v>33</v>
      </c>
      <c r="B18" s="53"/>
      <c r="C18" s="53"/>
      <c r="D18" s="53"/>
      <c r="E18" s="53"/>
      <c r="F18" s="23">
        <v>15736.61</v>
      </c>
      <c r="G18" s="23">
        <v>16739</v>
      </c>
      <c r="H18" s="23">
        <v>22625</v>
      </c>
      <c r="I18" s="48">
        <f>'Working Capital'!I6</f>
        <v>21446.740602739726</v>
      </c>
      <c r="J18" s="48">
        <f>'Working Capital'!J6</f>
        <v>23162.479850958902</v>
      </c>
      <c r="K18" s="48">
        <f>'Working Capital'!K6</f>
        <v>25015.478239035619</v>
      </c>
      <c r="L18" s="48">
        <f>'Working Capital'!L6</f>
        <v>27016.716498158468</v>
      </c>
      <c r="M18" s="48">
        <f>'Working Capital'!M6</f>
        <v>29178.053818011147</v>
      </c>
    </row>
    <row r="19" spans="1:18" x14ac:dyDescent="0.3">
      <c r="A19" s="53" t="s">
        <v>34</v>
      </c>
      <c r="B19" s="53"/>
      <c r="C19" s="53"/>
      <c r="D19" s="53"/>
      <c r="E19" s="53"/>
      <c r="F19" s="23">
        <v>80605.679999999993</v>
      </c>
      <c r="G19" s="23">
        <v>88899</v>
      </c>
      <c r="H19" s="23">
        <v>66810</v>
      </c>
      <c r="I19" s="48">
        <f>'Colgate CF'!F27</f>
        <v>88111.537186872476</v>
      </c>
      <c r="J19" s="48">
        <f>'Colgate CF'!G27</f>
        <v>120531.99697761447</v>
      </c>
      <c r="K19" s="48">
        <f>'Colgate CF'!H27</f>
        <v>153938.04247649165</v>
      </c>
      <c r="L19" s="48">
        <f>'Colgate CF'!I27</f>
        <v>189064.75893186685</v>
      </c>
      <c r="M19" s="48">
        <f>'Colgate CF'!J27</f>
        <v>226006.15715997742</v>
      </c>
      <c r="R19" s="2"/>
    </row>
    <row r="20" spans="1:18" x14ac:dyDescent="0.3">
      <c r="A20" s="53" t="s">
        <v>35</v>
      </c>
      <c r="B20" s="53"/>
      <c r="C20" s="53"/>
      <c r="D20" s="53"/>
      <c r="E20" s="53"/>
      <c r="F20" s="23">
        <v>11693.84</v>
      </c>
      <c r="G20" s="23">
        <v>48479</v>
      </c>
      <c r="H20" s="23">
        <v>42703</v>
      </c>
      <c r="I20" s="21">
        <f>I63</f>
        <v>44248</v>
      </c>
      <c r="J20" s="21">
        <f t="shared" ref="J20:M20" si="2">J63</f>
        <v>43069</v>
      </c>
      <c r="K20" s="21">
        <f t="shared" si="2"/>
        <v>41794</v>
      </c>
      <c r="L20" s="21">
        <f t="shared" si="2"/>
        <v>40502</v>
      </c>
      <c r="M20" s="21">
        <f t="shared" si="2"/>
        <v>39099</v>
      </c>
      <c r="R20" s="2"/>
    </row>
    <row r="21" spans="1:18" x14ac:dyDescent="0.3">
      <c r="A21" s="53" t="s">
        <v>36</v>
      </c>
      <c r="B21" s="53"/>
      <c r="C21" s="53"/>
      <c r="D21" s="53"/>
      <c r="E21" s="53"/>
      <c r="F21" s="23">
        <v>8759.91</v>
      </c>
      <c r="G21" s="23">
        <v>667</v>
      </c>
      <c r="H21" s="23">
        <v>667</v>
      </c>
      <c r="I21" s="23">
        <v>667</v>
      </c>
      <c r="J21" s="23">
        <v>667</v>
      </c>
      <c r="K21" s="23">
        <v>667</v>
      </c>
      <c r="L21" s="23">
        <v>667</v>
      </c>
      <c r="M21" s="23">
        <v>667</v>
      </c>
      <c r="R21" s="2"/>
    </row>
    <row r="22" spans="1:18" x14ac:dyDescent="0.3">
      <c r="A22" s="53" t="s">
        <v>37</v>
      </c>
      <c r="B22" s="53"/>
      <c r="C22" s="53"/>
      <c r="D22" s="53"/>
      <c r="E22" s="53"/>
      <c r="F22" s="23">
        <v>636.09</v>
      </c>
      <c r="G22" s="23">
        <v>602</v>
      </c>
      <c r="H22" s="23">
        <v>648</v>
      </c>
      <c r="I22" s="21">
        <f>H22*(1+I61)</f>
        <v>680.4</v>
      </c>
      <c r="J22" s="21">
        <f t="shared" ref="J22:M22" si="3">I22*(1+J61)</f>
        <v>714.42</v>
      </c>
      <c r="K22" s="21">
        <f t="shared" si="3"/>
        <v>750.14099999999996</v>
      </c>
      <c r="L22" s="21">
        <f t="shared" si="3"/>
        <v>787.64805000000001</v>
      </c>
      <c r="M22" s="21">
        <f t="shared" si="3"/>
        <v>827.03045250000002</v>
      </c>
    </row>
    <row r="23" spans="1:18" x14ac:dyDescent="0.3">
      <c r="A23" s="53" t="s">
        <v>38</v>
      </c>
      <c r="B23" s="53"/>
      <c r="C23" s="53"/>
      <c r="D23" s="53"/>
      <c r="E23" s="53"/>
      <c r="F23" s="23">
        <v>3811.27</v>
      </c>
      <c r="G23" s="23">
        <v>5354</v>
      </c>
      <c r="H23" s="23">
        <v>5092</v>
      </c>
      <c r="I23" s="21">
        <f>H23*(1+I62)</f>
        <v>5499.3600000000006</v>
      </c>
      <c r="J23" s="21">
        <f t="shared" ref="J23:M23" si="4">I23*(1+J62)</f>
        <v>5939.3088000000007</v>
      </c>
      <c r="K23" s="21">
        <f t="shared" si="4"/>
        <v>6414.453504000001</v>
      </c>
      <c r="L23" s="21">
        <f t="shared" si="4"/>
        <v>6927.6097843200014</v>
      </c>
      <c r="M23" s="21">
        <f t="shared" si="4"/>
        <v>7481.8185670656021</v>
      </c>
    </row>
    <row r="24" spans="1:18" x14ac:dyDescent="0.3">
      <c r="A24" s="53"/>
      <c r="B24" s="53"/>
      <c r="C24" s="53"/>
      <c r="D24" s="53"/>
      <c r="E24" s="53"/>
      <c r="F24" s="34">
        <f>SUM(F16:F23)</f>
        <v>154788.35999999999</v>
      </c>
      <c r="G24" s="34">
        <f>SUM(G16:G23)</f>
        <v>190381</v>
      </c>
      <c r="H24" s="34">
        <f>SUM(H16:H23)</f>
        <v>176271</v>
      </c>
      <c r="I24" s="34">
        <f t="shared" ref="I24:M24" si="5">SUM(I16:I23)</f>
        <v>198881.85291399574</v>
      </c>
      <c r="J24" s="34">
        <f t="shared" si="5"/>
        <v>235371.32596290763</v>
      </c>
      <c r="K24" s="34">
        <f t="shared" si="5"/>
        <v>273169.20518060826</v>
      </c>
      <c r="L24" s="34">
        <f t="shared" si="5"/>
        <v>313123.03042231279</v>
      </c>
      <c r="M24" s="34">
        <f t="shared" si="5"/>
        <v>355268.94092815899</v>
      </c>
      <c r="N24" s="5"/>
    </row>
    <row r="25" spans="1:18" s="3" customFormat="1" x14ac:dyDescent="0.3">
      <c r="A25" s="54" t="s">
        <v>39</v>
      </c>
      <c r="B25" s="54"/>
      <c r="C25" s="54"/>
      <c r="D25" s="54"/>
      <c r="E25" s="54"/>
      <c r="F25" s="22">
        <f>SUM(F14,F24)</f>
        <v>288298.93</v>
      </c>
      <c r="G25" s="22">
        <f>SUM(G14,G24)</f>
        <v>319653</v>
      </c>
      <c r="H25" s="22">
        <f>SUM(H14,H24)</f>
        <v>301855</v>
      </c>
      <c r="I25" s="22">
        <f t="shared" ref="I25:M25" si="6">SUM(I14,I24)</f>
        <v>320349.45139599574</v>
      </c>
      <c r="J25" s="22">
        <f t="shared" si="6"/>
        <v>357112.64622786763</v>
      </c>
      <c r="K25" s="22">
        <f t="shared" si="6"/>
        <v>396949.85355586663</v>
      </c>
      <c r="L25" s="22">
        <f t="shared" si="6"/>
        <v>440075.13103045372</v>
      </c>
      <c r="M25" s="22">
        <f t="shared" si="6"/>
        <v>486730.25950945076</v>
      </c>
      <c r="N25" s="4"/>
    </row>
    <row r="26" spans="1:18" x14ac:dyDescent="0.3">
      <c r="A26" s="53"/>
      <c r="B26" s="53"/>
      <c r="C26" s="53"/>
      <c r="D26" s="53"/>
      <c r="E26" s="53"/>
      <c r="F26" s="21"/>
      <c r="G26" s="21"/>
      <c r="H26" s="21"/>
      <c r="I26" s="21"/>
      <c r="J26" s="21"/>
      <c r="K26" s="21"/>
      <c r="L26" s="21"/>
      <c r="M26" s="21"/>
    </row>
    <row r="27" spans="1:18" x14ac:dyDescent="0.3">
      <c r="A27" s="62" t="s">
        <v>40</v>
      </c>
      <c r="B27" s="62"/>
      <c r="C27" s="62"/>
      <c r="D27" s="62"/>
      <c r="E27" s="62"/>
      <c r="F27" s="21"/>
      <c r="G27" s="21"/>
      <c r="H27" s="21"/>
      <c r="I27" s="21"/>
      <c r="J27" s="21"/>
      <c r="K27" s="21"/>
      <c r="L27" s="21"/>
      <c r="M27" s="21"/>
    </row>
    <row r="28" spans="1:18" x14ac:dyDescent="0.3">
      <c r="A28" s="54" t="s">
        <v>41</v>
      </c>
      <c r="B28" s="54"/>
      <c r="C28" s="54"/>
      <c r="D28" s="54"/>
      <c r="E28" s="54"/>
      <c r="F28" s="21"/>
      <c r="G28" s="21"/>
      <c r="H28" s="21"/>
      <c r="I28" s="21"/>
      <c r="J28" s="21"/>
      <c r="K28" s="21"/>
      <c r="L28" s="21"/>
      <c r="M28" s="21"/>
    </row>
    <row r="29" spans="1:18" x14ac:dyDescent="0.3">
      <c r="A29" s="53" t="s">
        <v>42</v>
      </c>
      <c r="B29" s="53"/>
      <c r="C29" s="53"/>
      <c r="D29" s="53"/>
      <c r="E29" s="53"/>
      <c r="F29" s="23">
        <v>2720</v>
      </c>
      <c r="G29" s="23">
        <v>2720</v>
      </c>
      <c r="H29" s="23">
        <v>2720</v>
      </c>
      <c r="I29" s="23">
        <v>2720</v>
      </c>
      <c r="J29" s="23">
        <v>2720</v>
      </c>
      <c r="K29" s="23">
        <v>2720</v>
      </c>
      <c r="L29" s="23">
        <v>2720</v>
      </c>
      <c r="M29" s="23">
        <v>2720</v>
      </c>
    </row>
    <row r="30" spans="1:18" x14ac:dyDescent="0.3">
      <c r="A30" s="53" t="s">
        <v>43</v>
      </c>
      <c r="B30" s="53"/>
      <c r="C30" s="53"/>
      <c r="D30" s="53"/>
      <c r="E30" s="53"/>
      <c r="F30" s="23">
        <v>168919</v>
      </c>
      <c r="G30" s="23">
        <v>184716</v>
      </c>
      <c r="H30" s="23">
        <v>163727</v>
      </c>
      <c r="I30" s="48">
        <f>Equity!B8</f>
        <v>188606.55175837936</v>
      </c>
      <c r="J30" s="48">
        <f>Equity!C8</f>
        <v>215913.87861924191</v>
      </c>
      <c r="K30" s="48">
        <f>Equity!D8</f>
        <v>245528.85553136177</v>
      </c>
      <c r="L30" s="48">
        <f>Equity!E8</f>
        <v>277605.47125535255</v>
      </c>
      <c r="M30" s="48">
        <f>Equity!F8</f>
        <v>312323.3264754496</v>
      </c>
    </row>
    <row r="31" spans="1:18" s="3" customFormat="1" x14ac:dyDescent="0.3">
      <c r="A31" s="54" t="s">
        <v>44</v>
      </c>
      <c r="B31" s="54"/>
      <c r="C31" s="54"/>
      <c r="D31" s="54"/>
      <c r="E31" s="54"/>
      <c r="F31" s="34">
        <f>SUM(F29,F30)</f>
        <v>171639</v>
      </c>
      <c r="G31" s="34">
        <f t="shared" ref="G31:H31" si="7">SUM(G29,G30)</f>
        <v>187436</v>
      </c>
      <c r="H31" s="34">
        <f t="shared" si="7"/>
        <v>166447</v>
      </c>
      <c r="I31" s="34">
        <f>I29+I30</f>
        <v>191326.55175837936</v>
      </c>
      <c r="J31" s="34">
        <f t="shared" ref="J31:M31" si="8">J29+J30</f>
        <v>218633.87861924191</v>
      </c>
      <c r="K31" s="34">
        <f t="shared" si="8"/>
        <v>248248.85553136177</v>
      </c>
      <c r="L31" s="34">
        <f t="shared" si="8"/>
        <v>280325.47125535255</v>
      </c>
      <c r="M31" s="34">
        <f t="shared" si="8"/>
        <v>315043.3264754496</v>
      </c>
    </row>
    <row r="32" spans="1:18" x14ac:dyDescent="0.3">
      <c r="A32" s="53"/>
      <c r="B32" s="53"/>
      <c r="C32" s="53"/>
      <c r="D32" s="53"/>
      <c r="E32" s="53"/>
      <c r="F32" s="21"/>
      <c r="G32" s="21"/>
      <c r="H32" s="21"/>
      <c r="I32" s="21"/>
      <c r="J32" s="21"/>
      <c r="K32" s="21"/>
      <c r="L32" s="21"/>
      <c r="M32" s="21"/>
    </row>
    <row r="33" spans="1:14" x14ac:dyDescent="0.3">
      <c r="A33" s="61" t="s">
        <v>45</v>
      </c>
      <c r="B33" s="61"/>
      <c r="C33" s="61"/>
      <c r="D33" s="61"/>
      <c r="E33" s="61"/>
      <c r="F33" s="21"/>
      <c r="G33" s="21"/>
      <c r="H33" s="21"/>
      <c r="I33" s="21"/>
      <c r="J33" s="21"/>
      <c r="K33" s="21"/>
      <c r="L33" s="21"/>
      <c r="M33" s="21"/>
    </row>
    <row r="34" spans="1:14" x14ac:dyDescent="0.3">
      <c r="A34" s="54" t="s">
        <v>46</v>
      </c>
      <c r="B34" s="54"/>
      <c r="C34" s="54"/>
      <c r="D34" s="54"/>
      <c r="E34" s="54"/>
      <c r="F34" s="21"/>
      <c r="G34" s="21"/>
      <c r="H34" s="21"/>
      <c r="I34" s="21"/>
      <c r="J34" s="21"/>
      <c r="K34" s="21"/>
      <c r="L34" s="21"/>
      <c r="M34" s="21"/>
    </row>
    <row r="35" spans="1:14" x14ac:dyDescent="0.3">
      <c r="A35" s="53" t="s">
        <v>47</v>
      </c>
      <c r="B35" s="53"/>
      <c r="C35" s="53"/>
      <c r="D35" s="53"/>
      <c r="E35" s="53"/>
      <c r="F35" s="21"/>
      <c r="G35" s="21"/>
      <c r="H35" s="21"/>
      <c r="I35" s="21"/>
      <c r="J35" s="21"/>
      <c r="K35" s="21"/>
      <c r="L35" s="21"/>
      <c r="M35" s="21"/>
    </row>
    <row r="36" spans="1:14" x14ac:dyDescent="0.3">
      <c r="A36" s="53" t="s">
        <v>48</v>
      </c>
      <c r="B36" s="53"/>
      <c r="C36" s="53"/>
      <c r="D36" s="53"/>
      <c r="E36" s="53"/>
      <c r="F36" s="23">
        <v>5674</v>
      </c>
      <c r="G36" s="23">
        <v>5955</v>
      </c>
      <c r="H36" s="23">
        <v>4543</v>
      </c>
      <c r="I36" s="21">
        <f>H36*(1+I73)</f>
        <v>4315.8499999999995</v>
      </c>
      <c r="J36" s="21">
        <f>I36*(1+J73)</f>
        <v>4100.057499999999</v>
      </c>
      <c r="K36" s="21">
        <f>J36*(1+K73)</f>
        <v>3895.0546249999989</v>
      </c>
      <c r="L36" s="21">
        <f>K36*(1+L73)</f>
        <v>3700.3018937499987</v>
      </c>
      <c r="M36" s="21">
        <f>L36*(1+M73)</f>
        <v>3515.2867990624986</v>
      </c>
    </row>
    <row r="37" spans="1:14" x14ac:dyDescent="0.3">
      <c r="A37" s="53" t="s">
        <v>49</v>
      </c>
      <c r="B37" s="53"/>
      <c r="C37" s="53"/>
      <c r="D37" s="53"/>
      <c r="E37" s="53"/>
      <c r="F37" s="23">
        <v>124</v>
      </c>
      <c r="G37" s="23">
        <v>130</v>
      </c>
      <c r="H37" s="23">
        <v>130</v>
      </c>
      <c r="I37" s="21">
        <f t="shared" ref="I37:M39" si="9">H37*(1+I76)</f>
        <v>135.20000000000002</v>
      </c>
      <c r="J37" s="21">
        <f t="shared" si="9"/>
        <v>140.60800000000003</v>
      </c>
      <c r="K37" s="21">
        <f t="shared" si="9"/>
        <v>146.23232000000004</v>
      </c>
      <c r="L37" s="21">
        <f t="shared" si="9"/>
        <v>152.08161280000004</v>
      </c>
      <c r="M37" s="21">
        <f t="shared" si="9"/>
        <v>158.16487731200004</v>
      </c>
    </row>
    <row r="38" spans="1:14" x14ac:dyDescent="0.3">
      <c r="A38" s="53" t="s">
        <v>50</v>
      </c>
      <c r="B38" s="53"/>
      <c r="C38" s="53"/>
      <c r="D38" s="53"/>
      <c r="E38" s="53"/>
      <c r="F38" s="23">
        <v>2359</v>
      </c>
      <c r="G38" s="23">
        <v>2161</v>
      </c>
      <c r="H38" s="23">
        <v>2991</v>
      </c>
      <c r="I38" s="21">
        <f t="shared" si="9"/>
        <v>3200.3700000000003</v>
      </c>
      <c r="J38" s="21">
        <f t="shared" si="9"/>
        <v>3424.3959000000004</v>
      </c>
      <c r="K38" s="21">
        <f t="shared" si="9"/>
        <v>3664.1036130000007</v>
      </c>
      <c r="L38" s="21">
        <f t="shared" si="9"/>
        <v>3920.590865910001</v>
      </c>
      <c r="M38" s="21">
        <f t="shared" si="9"/>
        <v>4195.032226523701</v>
      </c>
    </row>
    <row r="39" spans="1:14" x14ac:dyDescent="0.3">
      <c r="A39" s="53" t="s">
        <v>51</v>
      </c>
      <c r="B39" s="53"/>
      <c r="C39" s="53"/>
      <c r="D39" s="53"/>
      <c r="E39" s="53"/>
      <c r="F39" s="23">
        <v>40</v>
      </c>
      <c r="G39" s="23">
        <v>36</v>
      </c>
      <c r="H39" s="23">
        <v>30</v>
      </c>
      <c r="I39" s="21">
        <f t="shared" si="9"/>
        <v>28.5</v>
      </c>
      <c r="J39" s="21">
        <f t="shared" si="9"/>
        <v>27.074999999999999</v>
      </c>
      <c r="K39" s="21">
        <f t="shared" si="9"/>
        <v>25.721249999999998</v>
      </c>
      <c r="L39" s="21">
        <f t="shared" si="9"/>
        <v>24.435187499999998</v>
      </c>
      <c r="M39" s="21">
        <f t="shared" si="9"/>
        <v>23.213428124999997</v>
      </c>
    </row>
    <row r="40" spans="1:14" x14ac:dyDescent="0.3">
      <c r="A40" s="53"/>
      <c r="B40" s="53"/>
      <c r="C40" s="53"/>
      <c r="D40" s="53"/>
      <c r="E40" s="53"/>
      <c r="F40" s="34">
        <f>SUM(F36:F39)</f>
        <v>8197</v>
      </c>
      <c r="G40" s="34">
        <f t="shared" ref="G40:M40" si="10">SUM(G36:G39)</f>
        <v>8282</v>
      </c>
      <c r="H40" s="34">
        <f t="shared" si="10"/>
        <v>7694</v>
      </c>
      <c r="I40" s="34">
        <f t="shared" si="10"/>
        <v>7679.92</v>
      </c>
      <c r="J40" s="34">
        <f t="shared" si="10"/>
        <v>7692.1363999999994</v>
      </c>
      <c r="K40" s="34">
        <f t="shared" si="10"/>
        <v>7731.1118079999987</v>
      </c>
      <c r="L40" s="34">
        <f t="shared" si="10"/>
        <v>7797.4095599599996</v>
      </c>
      <c r="M40" s="34">
        <f t="shared" si="10"/>
        <v>7891.6973310231997</v>
      </c>
    </row>
    <row r="41" spans="1:14" x14ac:dyDescent="0.3">
      <c r="A41" s="54" t="s">
        <v>52</v>
      </c>
      <c r="B41" s="54"/>
      <c r="C41" s="54"/>
      <c r="D41" s="54"/>
      <c r="E41" s="54"/>
      <c r="F41" s="21"/>
      <c r="G41" s="21"/>
      <c r="H41" s="21"/>
      <c r="I41" s="21"/>
      <c r="J41" s="21"/>
      <c r="K41" s="21"/>
      <c r="L41" s="21"/>
      <c r="M41" s="21"/>
    </row>
    <row r="42" spans="1:14" x14ac:dyDescent="0.3">
      <c r="A42" s="53" t="s">
        <v>47</v>
      </c>
      <c r="B42" s="53"/>
      <c r="C42" s="53"/>
      <c r="D42" s="53"/>
      <c r="E42" s="53"/>
      <c r="F42" s="21"/>
      <c r="G42" s="21"/>
      <c r="H42" s="21"/>
      <c r="I42" s="21"/>
      <c r="J42" s="21"/>
      <c r="K42" s="21"/>
      <c r="L42" s="21"/>
      <c r="M42" s="21"/>
    </row>
    <row r="43" spans="1:14" x14ac:dyDescent="0.3">
      <c r="A43" s="53" t="s">
        <v>48</v>
      </c>
      <c r="B43" s="53"/>
      <c r="C43" s="53"/>
      <c r="D43" s="53"/>
      <c r="E43" s="53"/>
      <c r="F43" s="23">
        <v>1222</v>
      </c>
      <c r="G43" s="23">
        <v>1220</v>
      </c>
      <c r="H43" s="23">
        <v>1541</v>
      </c>
      <c r="I43" s="21">
        <f>H43*(1+I69)</f>
        <v>1618.0500000000002</v>
      </c>
      <c r="J43" s="21">
        <f>I43*(1+J69)</f>
        <v>1698.9525000000003</v>
      </c>
      <c r="K43" s="21">
        <f>J43*(1+K69)</f>
        <v>1783.9001250000003</v>
      </c>
      <c r="L43" s="21">
        <f>K43*(1+L69)</f>
        <v>1873.0951312500003</v>
      </c>
      <c r="M43" s="21">
        <f>L43*(1+M69)</f>
        <v>1966.7498878125004</v>
      </c>
    </row>
    <row r="44" spans="1:14" x14ac:dyDescent="0.3">
      <c r="A44" s="53" t="s">
        <v>53</v>
      </c>
      <c r="B44" s="53"/>
      <c r="C44" s="53"/>
      <c r="D44" s="53"/>
      <c r="E44" s="53"/>
      <c r="F44" s="23">
        <v>76112</v>
      </c>
      <c r="G44" s="23">
        <v>88191</v>
      </c>
      <c r="H44" s="23">
        <v>92079</v>
      </c>
      <c r="I44" s="48">
        <f>'Working Capital'!I8</f>
        <v>83106.119835616439</v>
      </c>
      <c r="J44" s="48">
        <f>'Working Capital'!J8</f>
        <v>89754.609422465757</v>
      </c>
      <c r="K44" s="48">
        <f>'Working Capital'!K8</f>
        <v>96934.97817626303</v>
      </c>
      <c r="L44" s="48">
        <f>'Working Capital'!L8</f>
        <v>104689.77643036409</v>
      </c>
      <c r="M44" s="48">
        <f>'Working Capital'!M8</f>
        <v>113064.95854479322</v>
      </c>
      <c r="N44" s="2"/>
    </row>
    <row r="45" spans="1:14" x14ac:dyDescent="0.3">
      <c r="A45" s="53" t="s">
        <v>54</v>
      </c>
      <c r="B45" s="53"/>
      <c r="C45" s="53"/>
      <c r="D45" s="53"/>
      <c r="E45" s="53"/>
      <c r="F45" s="23">
        <v>3773</v>
      </c>
      <c r="G45" s="23">
        <v>4142</v>
      </c>
      <c r="H45" s="23">
        <v>4693</v>
      </c>
      <c r="I45" s="21">
        <f>H45*(1+I70)</f>
        <v>5068.4400000000005</v>
      </c>
      <c r="J45" s="21">
        <f>I45*(1+J70)</f>
        <v>5473.9152000000013</v>
      </c>
      <c r="K45" s="21">
        <f>J45*(1+K70)</f>
        <v>5911.8284160000021</v>
      </c>
      <c r="L45" s="21">
        <f>K45*(1+L70)</f>
        <v>6384.7746892800023</v>
      </c>
      <c r="M45" s="21">
        <f>L45*(1+M70)</f>
        <v>6895.5566644224027</v>
      </c>
    </row>
    <row r="46" spans="1:14" x14ac:dyDescent="0.3">
      <c r="A46" s="53" t="s">
        <v>55</v>
      </c>
      <c r="B46" s="53"/>
      <c r="C46" s="53"/>
      <c r="D46" s="53"/>
      <c r="E46" s="53"/>
      <c r="F46" s="23">
        <v>12789</v>
      </c>
      <c r="G46" s="23">
        <v>12583</v>
      </c>
      <c r="H46" s="23">
        <v>13550</v>
      </c>
      <c r="I46" s="21">
        <f>H46*(1+I66)</f>
        <v>14634.000000000002</v>
      </c>
      <c r="J46" s="21">
        <f>I46*(1+J66)</f>
        <v>15804.720000000003</v>
      </c>
      <c r="K46" s="21">
        <f>J46*(1+K66)</f>
        <v>17069.097600000005</v>
      </c>
      <c r="L46" s="21">
        <f>K46*(1+L66)</f>
        <v>18434.625408000007</v>
      </c>
      <c r="M46" s="21">
        <f>L46*(1+M66)</f>
        <v>19909.395440640008</v>
      </c>
    </row>
    <row r="47" spans="1:14" x14ac:dyDescent="0.3">
      <c r="A47" s="53" t="s">
        <v>50</v>
      </c>
      <c r="B47" s="53"/>
      <c r="C47" s="53"/>
      <c r="D47" s="53"/>
      <c r="E47" s="53"/>
      <c r="F47" s="23">
        <v>9051</v>
      </c>
      <c r="G47" s="23">
        <v>9863</v>
      </c>
      <c r="H47" s="23">
        <v>10155</v>
      </c>
      <c r="I47" s="21">
        <f>H47*(1+I68)</f>
        <v>10764.300000000001</v>
      </c>
      <c r="J47" s="21">
        <f>I47*(1+J68)</f>
        <v>11410.158000000001</v>
      </c>
      <c r="K47" s="21">
        <f>J47*(1+K68)</f>
        <v>12094.767480000002</v>
      </c>
      <c r="L47" s="21">
        <f>K47*(1+L68)</f>
        <v>12820.453528800002</v>
      </c>
      <c r="M47" s="21">
        <f>L47*(1+M68)</f>
        <v>13589.680740528003</v>
      </c>
    </row>
    <row r="48" spans="1:14" x14ac:dyDescent="0.3">
      <c r="A48" s="53" t="s">
        <v>56</v>
      </c>
      <c r="B48" s="53"/>
      <c r="C48" s="53"/>
      <c r="D48" s="53"/>
      <c r="E48" s="53"/>
      <c r="F48" s="23">
        <v>5516</v>
      </c>
      <c r="G48" s="23">
        <v>7936</v>
      </c>
      <c r="H48" s="23">
        <v>5696</v>
      </c>
      <c r="I48" s="21">
        <f>H48*(1+I67)</f>
        <v>6151.68</v>
      </c>
      <c r="J48" s="21">
        <f>I48*(1+J67)</f>
        <v>6643.8144000000011</v>
      </c>
      <c r="K48" s="21">
        <f>J48*(1+K67)</f>
        <v>7175.3195520000017</v>
      </c>
      <c r="L48" s="21">
        <f>K48*(1+L67)</f>
        <v>7749.3451161600024</v>
      </c>
      <c r="M48" s="21">
        <f>L48*(1+M67)</f>
        <v>8369.292725452804</v>
      </c>
    </row>
    <row r="49" spans="1:13" x14ac:dyDescent="0.3">
      <c r="A49" s="53"/>
      <c r="B49" s="53"/>
      <c r="C49" s="53"/>
      <c r="D49" s="53"/>
      <c r="E49" s="53"/>
      <c r="F49" s="34">
        <f>SUM(F43:F48)</f>
        <v>108463</v>
      </c>
      <c r="G49" s="34">
        <f t="shared" ref="G49:M49" si="11">SUM(G43:G48)</f>
        <v>123935</v>
      </c>
      <c r="H49" s="34">
        <f t="shared" si="11"/>
        <v>127714</v>
      </c>
      <c r="I49" s="34">
        <f t="shared" si="11"/>
        <v>121342.58983561644</v>
      </c>
      <c r="J49" s="34">
        <f t="shared" si="11"/>
        <v>130786.16952246576</v>
      </c>
      <c r="K49" s="34">
        <f t="shared" si="11"/>
        <v>140969.89134926305</v>
      </c>
      <c r="L49" s="34">
        <f t="shared" si="11"/>
        <v>151952.07030385407</v>
      </c>
      <c r="M49" s="34">
        <f t="shared" si="11"/>
        <v>163795.63400364894</v>
      </c>
    </row>
    <row r="50" spans="1:13" s="3" customFormat="1" x14ac:dyDescent="0.3">
      <c r="A50" s="54" t="s">
        <v>57</v>
      </c>
      <c r="B50" s="54"/>
      <c r="C50" s="54"/>
      <c r="D50" s="54"/>
      <c r="E50" s="54"/>
      <c r="F50" s="22">
        <f>SUM(F31,F40,F49)</f>
        <v>288299</v>
      </c>
      <c r="G50" s="22">
        <f t="shared" ref="G50:M50" si="12">SUM(G31,G40,G49)</f>
        <v>319653</v>
      </c>
      <c r="H50" s="22">
        <f t="shared" si="12"/>
        <v>301855</v>
      </c>
      <c r="I50" s="22">
        <f t="shared" si="12"/>
        <v>320349.06159399578</v>
      </c>
      <c r="J50" s="22">
        <f t="shared" si="12"/>
        <v>357112.18454170763</v>
      </c>
      <c r="K50" s="22">
        <f t="shared" si="12"/>
        <v>396949.85868862481</v>
      </c>
      <c r="L50" s="22">
        <f t="shared" si="12"/>
        <v>440074.95111916662</v>
      </c>
      <c r="M50" s="22">
        <f t="shared" si="12"/>
        <v>486730.65781012177</v>
      </c>
    </row>
    <row r="51" spans="1:13" x14ac:dyDescent="0.3"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t="s">
        <v>116</v>
      </c>
      <c r="F52" s="2">
        <f>F25-F50</f>
        <v>-7.0000000006984919E-2</v>
      </c>
      <c r="G52" s="2">
        <f t="shared" ref="G52:M52" si="13">G25-G50</f>
        <v>0</v>
      </c>
      <c r="H52" s="2">
        <f t="shared" si="13"/>
        <v>0</v>
      </c>
      <c r="I52" s="2">
        <f t="shared" si="13"/>
        <v>0.38980199996149167</v>
      </c>
      <c r="J52" s="2">
        <f t="shared" si="13"/>
        <v>0.46168616000795737</v>
      </c>
      <c r="K52" s="2">
        <f t="shared" si="13"/>
        <v>-5.1327581750229001E-3</v>
      </c>
      <c r="L52" s="2">
        <f t="shared" si="13"/>
        <v>0.17991128709400073</v>
      </c>
      <c r="M52" s="2">
        <f t="shared" si="13"/>
        <v>-0.39830067101866007</v>
      </c>
    </row>
    <row r="53" spans="1:13" x14ac:dyDescent="0.3">
      <c r="F53" s="2"/>
      <c r="G53" s="2"/>
      <c r="H53" s="2"/>
      <c r="I53" s="2"/>
      <c r="J53" s="2"/>
      <c r="K53" s="2"/>
      <c r="L53" s="2"/>
      <c r="M53" s="2"/>
    </row>
    <row r="55" spans="1:13" x14ac:dyDescent="0.3">
      <c r="A55" s="53" t="s">
        <v>103</v>
      </c>
      <c r="B55" s="53"/>
      <c r="C55" s="53"/>
      <c r="D55" s="53"/>
      <c r="E55" s="53"/>
      <c r="G55" s="6"/>
      <c r="H55" s="6"/>
      <c r="I55" s="44">
        <v>0.04</v>
      </c>
      <c r="J55" s="44">
        <v>0.04</v>
      </c>
      <c r="K55" s="44">
        <v>0.04</v>
      </c>
      <c r="L55" s="44">
        <v>0.04</v>
      </c>
      <c r="M55" s="44">
        <v>0.04</v>
      </c>
    </row>
    <row r="56" spans="1:13" x14ac:dyDescent="0.3">
      <c r="A56" s="59" t="s">
        <v>29</v>
      </c>
      <c r="B56" s="59"/>
      <c r="C56" s="59"/>
      <c r="D56" s="59"/>
      <c r="E56" s="59"/>
      <c r="I56" s="45">
        <v>0.05</v>
      </c>
      <c r="J56" s="45">
        <v>0.05</v>
      </c>
      <c r="K56" s="45">
        <v>0.05</v>
      </c>
      <c r="L56" s="45">
        <v>0.05</v>
      </c>
      <c r="M56" s="45">
        <v>0.05</v>
      </c>
    </row>
    <row r="57" spans="1:13" x14ac:dyDescent="0.3">
      <c r="A57" s="59" t="s">
        <v>105</v>
      </c>
      <c r="B57" s="59"/>
      <c r="C57" s="59"/>
      <c r="D57" s="59"/>
      <c r="E57" s="59"/>
      <c r="I57" s="45">
        <v>0.08</v>
      </c>
      <c r="J57" s="45">
        <v>0.08</v>
      </c>
      <c r="K57" s="45">
        <v>0.08</v>
      </c>
      <c r="L57" s="45">
        <v>0.08</v>
      </c>
      <c r="M57" s="45">
        <v>0.08</v>
      </c>
    </row>
    <row r="58" spans="1:13" x14ac:dyDescent="0.3">
      <c r="A58" s="59"/>
      <c r="B58" s="59"/>
      <c r="C58" s="59"/>
      <c r="D58" s="59"/>
      <c r="E58" s="59"/>
      <c r="I58" s="45"/>
      <c r="J58" s="45"/>
      <c r="K58" s="45"/>
      <c r="L58" s="45"/>
      <c r="M58" s="45"/>
    </row>
    <row r="59" spans="1:13" x14ac:dyDescent="0.3">
      <c r="A59" s="60" t="s">
        <v>31</v>
      </c>
      <c r="B59" s="60"/>
      <c r="C59" s="60"/>
      <c r="D59" s="60"/>
      <c r="E59" s="60"/>
      <c r="I59" s="45"/>
      <c r="J59" s="45"/>
      <c r="K59" s="45"/>
      <c r="L59" s="45"/>
      <c r="M59" s="45"/>
    </row>
    <row r="60" spans="1:13" x14ac:dyDescent="0.3">
      <c r="A60" s="59" t="s">
        <v>117</v>
      </c>
      <c r="B60" s="59"/>
      <c r="C60" s="59"/>
      <c r="D60" s="59"/>
      <c r="E60" s="59"/>
      <c r="I60" s="45"/>
      <c r="J60" s="45"/>
      <c r="K60" s="45"/>
      <c r="L60" s="45"/>
      <c r="M60" s="45"/>
    </row>
    <row r="61" spans="1:13" x14ac:dyDescent="0.3">
      <c r="A61" s="59" t="s">
        <v>118</v>
      </c>
      <c r="B61" s="59"/>
      <c r="C61" s="59"/>
      <c r="D61" s="59"/>
      <c r="E61" s="59"/>
      <c r="I61" s="45">
        <v>0.05</v>
      </c>
      <c r="J61" s="45">
        <v>0.05</v>
      </c>
      <c r="K61" s="45">
        <v>0.05</v>
      </c>
      <c r="L61" s="45">
        <v>0.05</v>
      </c>
      <c r="M61" s="45">
        <v>0.05</v>
      </c>
    </row>
    <row r="62" spans="1:13" x14ac:dyDescent="0.3">
      <c r="A62" s="59" t="s">
        <v>119</v>
      </c>
      <c r="B62" s="59"/>
      <c r="C62" s="59"/>
      <c r="D62" s="59"/>
      <c r="E62" s="59"/>
      <c r="I62" s="45">
        <v>0.08</v>
      </c>
      <c r="J62" s="45">
        <v>0.08</v>
      </c>
      <c r="K62" s="45">
        <v>0.08</v>
      </c>
      <c r="L62" s="45">
        <v>0.08</v>
      </c>
      <c r="M62" s="45">
        <v>0.08</v>
      </c>
    </row>
    <row r="63" spans="1:13" x14ac:dyDescent="0.3">
      <c r="A63" s="59" t="s">
        <v>138</v>
      </c>
      <c r="B63" s="59"/>
      <c r="C63" s="59"/>
      <c r="D63" s="59"/>
      <c r="E63" s="59"/>
      <c r="I63" s="46">
        <v>44248</v>
      </c>
      <c r="J63" s="46">
        <v>43069</v>
      </c>
      <c r="K63" s="46">
        <v>41794</v>
      </c>
      <c r="L63" s="46">
        <v>40502</v>
      </c>
      <c r="M63" s="46">
        <v>39099</v>
      </c>
    </row>
    <row r="64" spans="1:13" x14ac:dyDescent="0.3">
      <c r="A64" s="59"/>
      <c r="B64" s="59"/>
      <c r="C64" s="59"/>
      <c r="D64" s="59"/>
      <c r="E64" s="59"/>
      <c r="I64" s="47"/>
      <c r="J64" s="47"/>
      <c r="K64" s="47"/>
      <c r="L64" s="47"/>
      <c r="M64" s="47"/>
    </row>
    <row r="65" spans="1:41" x14ac:dyDescent="0.3">
      <c r="A65" s="60" t="s">
        <v>106</v>
      </c>
      <c r="B65" s="60"/>
      <c r="C65" s="60"/>
      <c r="D65" s="60"/>
      <c r="E65" s="60"/>
      <c r="I65" s="47"/>
      <c r="J65" s="47"/>
      <c r="K65" s="47"/>
      <c r="L65" s="47"/>
      <c r="M65" s="47"/>
    </row>
    <row r="66" spans="1:41" x14ac:dyDescent="0.3">
      <c r="A66" s="59" t="s">
        <v>55</v>
      </c>
      <c r="B66" s="59"/>
      <c r="C66" s="59"/>
      <c r="D66" s="59"/>
      <c r="E66" s="59"/>
      <c r="I66" s="45">
        <v>0.08</v>
      </c>
      <c r="J66" s="45">
        <v>0.08</v>
      </c>
      <c r="K66" s="45">
        <v>0.08</v>
      </c>
      <c r="L66" s="45">
        <v>0.08</v>
      </c>
      <c r="M66" s="45">
        <v>0.08</v>
      </c>
    </row>
    <row r="67" spans="1:41" x14ac:dyDescent="0.3">
      <c r="A67" s="59" t="s">
        <v>107</v>
      </c>
      <c r="B67" s="59"/>
      <c r="C67" s="59"/>
      <c r="D67" s="59"/>
      <c r="E67" s="59"/>
      <c r="I67" s="45">
        <v>0.08</v>
      </c>
      <c r="J67" s="45">
        <v>0.08</v>
      </c>
      <c r="K67" s="45">
        <v>0.08</v>
      </c>
      <c r="L67" s="45">
        <v>0.08</v>
      </c>
      <c r="M67" s="45">
        <v>0.08</v>
      </c>
    </row>
    <row r="68" spans="1:41" x14ac:dyDescent="0.3">
      <c r="A68" s="59" t="s">
        <v>50</v>
      </c>
      <c r="B68" s="59"/>
      <c r="C68" s="59"/>
      <c r="D68" s="59"/>
      <c r="E68" s="59"/>
      <c r="I68" s="45">
        <v>0.06</v>
      </c>
      <c r="J68" s="45">
        <v>0.06</v>
      </c>
      <c r="K68" s="45">
        <v>0.06</v>
      </c>
      <c r="L68" s="45">
        <v>0.06</v>
      </c>
      <c r="M68" s="45">
        <v>0.06</v>
      </c>
    </row>
    <row r="69" spans="1:41" x14ac:dyDescent="0.3">
      <c r="A69" s="59" t="s">
        <v>108</v>
      </c>
      <c r="B69" s="59"/>
      <c r="C69" s="59"/>
      <c r="D69" s="59"/>
      <c r="E69" s="59"/>
      <c r="I69" s="45">
        <v>0.05</v>
      </c>
      <c r="J69" s="45">
        <v>0.05</v>
      </c>
      <c r="K69" s="45">
        <v>0.05</v>
      </c>
      <c r="L69" s="45">
        <v>0.05</v>
      </c>
      <c r="M69" s="45">
        <v>0.05</v>
      </c>
    </row>
    <row r="70" spans="1:41" x14ac:dyDescent="0.3">
      <c r="A70" s="59" t="s">
        <v>109</v>
      </c>
      <c r="B70" s="59"/>
      <c r="C70" s="59"/>
      <c r="D70" s="59"/>
      <c r="E70" s="59"/>
      <c r="I70" s="45">
        <v>0.08</v>
      </c>
      <c r="J70" s="45">
        <v>0.08</v>
      </c>
      <c r="K70" s="45">
        <v>0.08</v>
      </c>
      <c r="L70" s="45">
        <v>0.08</v>
      </c>
      <c r="M70" s="45">
        <v>0.08</v>
      </c>
    </row>
    <row r="71" spans="1:41" x14ac:dyDescent="0.3">
      <c r="A71" s="53"/>
      <c r="B71" s="53"/>
      <c r="C71" s="53"/>
      <c r="D71" s="53"/>
      <c r="E71" s="53"/>
      <c r="I71" s="47"/>
      <c r="J71" s="47"/>
      <c r="K71" s="47"/>
      <c r="L71" s="47"/>
      <c r="M71" s="47"/>
    </row>
    <row r="72" spans="1:41" x14ac:dyDescent="0.3">
      <c r="A72" s="60" t="s">
        <v>110</v>
      </c>
      <c r="B72" s="60"/>
      <c r="C72" s="60"/>
      <c r="D72" s="60"/>
      <c r="E72" s="60"/>
      <c r="I72" s="47"/>
      <c r="J72" s="47"/>
      <c r="K72" s="47"/>
      <c r="L72" s="47"/>
      <c r="M72" s="47"/>
    </row>
    <row r="73" spans="1:41" x14ac:dyDescent="0.3">
      <c r="A73" s="59" t="s">
        <v>108</v>
      </c>
      <c r="B73" s="59"/>
      <c r="C73" s="59"/>
      <c r="D73" s="59"/>
      <c r="E73" s="59"/>
      <c r="I73" s="45">
        <v>-0.05</v>
      </c>
      <c r="J73" s="45">
        <v>-0.05</v>
      </c>
      <c r="K73" s="45">
        <v>-0.05</v>
      </c>
      <c r="L73" s="45">
        <v>-0.05</v>
      </c>
      <c r="M73" s="45">
        <v>-0.05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</row>
    <row r="74" spans="1:41" x14ac:dyDescent="0.3">
      <c r="A74" s="53"/>
      <c r="B74" s="53"/>
      <c r="C74" s="53"/>
      <c r="D74" s="53"/>
      <c r="E74" s="53"/>
      <c r="I74" s="47"/>
      <c r="J74" s="47"/>
      <c r="K74" s="47"/>
      <c r="L74" s="47"/>
      <c r="M74" s="47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</row>
    <row r="75" spans="1:41" x14ac:dyDescent="0.3">
      <c r="A75" s="53"/>
      <c r="B75" s="53"/>
      <c r="C75" s="53"/>
      <c r="D75" s="53"/>
      <c r="E75" s="53"/>
      <c r="I75" s="47"/>
      <c r="J75" s="47"/>
      <c r="K75" s="47"/>
      <c r="L75" s="47"/>
      <c r="M75" s="47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</row>
    <row r="76" spans="1:41" x14ac:dyDescent="0.3">
      <c r="A76" s="59" t="s">
        <v>109</v>
      </c>
      <c r="B76" s="59"/>
      <c r="C76" s="59"/>
      <c r="D76" s="59"/>
      <c r="E76" s="59"/>
      <c r="I76" s="45">
        <v>0.04</v>
      </c>
      <c r="J76" s="45">
        <v>0.04</v>
      </c>
      <c r="K76" s="45">
        <v>0.04</v>
      </c>
      <c r="L76" s="45">
        <v>0.04</v>
      </c>
      <c r="M76" s="45">
        <v>0.04</v>
      </c>
      <c r="O76" s="13"/>
    </row>
    <row r="77" spans="1:41" x14ac:dyDescent="0.3">
      <c r="A77" s="53" t="s">
        <v>50</v>
      </c>
      <c r="B77" s="53"/>
      <c r="C77" s="53"/>
      <c r="D77" s="53"/>
      <c r="E77" s="53"/>
      <c r="I77" s="45">
        <v>7.0000000000000007E-2</v>
      </c>
      <c r="J77" s="45">
        <v>7.0000000000000007E-2</v>
      </c>
      <c r="K77" s="45">
        <v>7.0000000000000007E-2</v>
      </c>
      <c r="L77" s="45">
        <v>7.0000000000000007E-2</v>
      </c>
      <c r="M77" s="45">
        <v>7.0000000000000007E-2</v>
      </c>
    </row>
    <row r="78" spans="1:41" x14ac:dyDescent="0.3">
      <c r="A78" s="53" t="s">
        <v>111</v>
      </c>
      <c r="B78" s="53"/>
      <c r="C78" s="53"/>
      <c r="D78" s="53"/>
      <c r="E78" s="53"/>
      <c r="I78" s="45">
        <v>-0.05</v>
      </c>
      <c r="J78" s="45">
        <v>-0.05</v>
      </c>
      <c r="K78" s="45">
        <v>-0.05</v>
      </c>
      <c r="L78" s="45">
        <v>-0.05</v>
      </c>
      <c r="M78" s="45">
        <v>-0.05</v>
      </c>
    </row>
    <row r="79" spans="1:41" x14ac:dyDescent="0.3">
      <c r="I79" s="47"/>
      <c r="J79" s="47"/>
      <c r="K79" s="47"/>
      <c r="L79" s="47"/>
      <c r="M79" s="47"/>
    </row>
    <row r="80" spans="1:41" x14ac:dyDescent="0.3">
      <c r="I80" s="2"/>
      <c r="J80" s="2"/>
      <c r="K80" s="2"/>
      <c r="L80" s="2"/>
      <c r="M80" s="2"/>
    </row>
  </sheetData>
  <mergeCells count="74">
    <mergeCell ref="A11:E11"/>
    <mergeCell ref="A12:E12"/>
    <mergeCell ref="A13:E13"/>
    <mergeCell ref="A14:E14"/>
    <mergeCell ref="A15:E15"/>
    <mergeCell ref="A6:E6"/>
    <mergeCell ref="A7:E7"/>
    <mergeCell ref="A8:E8"/>
    <mergeCell ref="A9:E9"/>
    <mergeCell ref="A10:E10"/>
    <mergeCell ref="A1:E2"/>
    <mergeCell ref="F1:H2"/>
    <mergeCell ref="I1:M2"/>
    <mergeCell ref="A4:M4"/>
    <mergeCell ref="A5:E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5:E75"/>
    <mergeCell ref="A76:E76"/>
    <mergeCell ref="A77:E77"/>
    <mergeCell ref="A78:E78"/>
    <mergeCell ref="A70:E70"/>
    <mergeCell ref="A71:E71"/>
    <mergeCell ref="A72:E72"/>
    <mergeCell ref="A73:E73"/>
    <mergeCell ref="A74:E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CD99-531B-4EA1-BDC3-BEC9EBF9BDCD}">
  <dimension ref="A1:J32"/>
  <sheetViews>
    <sheetView zoomScale="60" zoomScaleNormal="100" workbookViewId="0">
      <selection activeCell="C44" sqref="C44"/>
    </sheetView>
  </sheetViews>
  <sheetFormatPr defaultRowHeight="14.4" x14ac:dyDescent="0.3"/>
  <cols>
    <col min="1" max="1" width="13.6640625" customWidth="1"/>
    <col min="6" max="6" width="21.6640625" bestFit="1" customWidth="1"/>
    <col min="7" max="7" width="21.5546875" bestFit="1" customWidth="1"/>
    <col min="8" max="8" width="22" bestFit="1" customWidth="1"/>
    <col min="9" max="9" width="22.109375" bestFit="1" customWidth="1"/>
    <col min="10" max="10" width="22.21875" bestFit="1" customWidth="1"/>
  </cols>
  <sheetData>
    <row r="1" spans="1:10" x14ac:dyDescent="0.3">
      <c r="A1" s="63" t="s">
        <v>120</v>
      </c>
      <c r="B1" s="63"/>
      <c r="C1" s="63"/>
      <c r="D1" s="63"/>
      <c r="E1" s="63"/>
      <c r="F1" s="55" t="s">
        <v>3</v>
      </c>
      <c r="G1" s="55"/>
      <c r="H1" s="55"/>
      <c r="I1" s="55"/>
      <c r="J1" s="55"/>
    </row>
    <row r="2" spans="1:10" x14ac:dyDescent="0.3">
      <c r="A2" s="63"/>
      <c r="B2" s="63"/>
      <c r="C2" s="63"/>
      <c r="D2" s="63"/>
      <c r="E2" s="63"/>
      <c r="F2" s="56"/>
      <c r="G2" s="56"/>
      <c r="H2" s="56"/>
      <c r="I2" s="56"/>
      <c r="J2" s="56"/>
    </row>
    <row r="3" spans="1:10" x14ac:dyDescent="0.3">
      <c r="A3" s="15" t="s">
        <v>20</v>
      </c>
      <c r="B3" s="15"/>
      <c r="C3" s="15"/>
      <c r="D3" s="15"/>
      <c r="E3" s="15"/>
      <c r="F3" s="16">
        <v>2026</v>
      </c>
      <c r="G3" s="16">
        <v>2027</v>
      </c>
      <c r="H3" s="16">
        <v>2028</v>
      </c>
      <c r="I3" s="16">
        <v>2029</v>
      </c>
      <c r="J3" s="16">
        <v>2030</v>
      </c>
    </row>
    <row r="4" spans="1:10" x14ac:dyDescent="0.3">
      <c r="A4" s="54" t="s">
        <v>121</v>
      </c>
      <c r="B4" s="54"/>
      <c r="C4" s="54"/>
      <c r="D4" s="54"/>
      <c r="E4" s="54"/>
    </row>
    <row r="5" spans="1:10" x14ac:dyDescent="0.3">
      <c r="A5" s="53" t="s">
        <v>122</v>
      </c>
      <c r="B5" s="53"/>
      <c r="C5" s="53"/>
      <c r="D5" s="53"/>
      <c r="E5" s="53"/>
      <c r="F5" s="48">
        <f>'Colgate IS'!J20</f>
        <v>222635.80991838357</v>
      </c>
      <c r="G5" s="48">
        <f>'Colgate IS'!K20</f>
        <v>244360.86676387073</v>
      </c>
      <c r="H5" s="48">
        <f>'Colgate IS'!L20</f>
        <v>265010.97907937237</v>
      </c>
      <c r="I5" s="48">
        <f>'Colgate IS'!M20</f>
        <v>287039.06688134925</v>
      </c>
      <c r="J5" s="48">
        <f>'Colgate IS'!N20</f>
        <v>310674.31964292651</v>
      </c>
    </row>
    <row r="6" spans="1:10" x14ac:dyDescent="0.3">
      <c r="A6" s="53" t="s">
        <v>69</v>
      </c>
      <c r="B6" s="53"/>
      <c r="C6" s="53"/>
      <c r="D6" s="53"/>
      <c r="E6" s="53"/>
      <c r="F6" s="48">
        <f>'Colgate IS'!J17</f>
        <v>13199.820000000002</v>
      </c>
      <c r="G6" s="48">
        <f>'Colgate IS'!K17</f>
        <v>12397.518375599999</v>
      </c>
      <c r="H6" s="48">
        <f>'Colgate IS'!L17</f>
        <v>11846.941449395998</v>
      </c>
      <c r="I6" s="48">
        <f>'Colgate IS'!M17</f>
        <v>11546.607915272803</v>
      </c>
      <c r="J6" s="48">
        <f>'Colgate IS'!N17</f>
        <v>11399.770766613054</v>
      </c>
    </row>
    <row r="7" spans="1:10" x14ac:dyDescent="0.3">
      <c r="A7" s="53" t="s">
        <v>123</v>
      </c>
      <c r="B7" s="53"/>
      <c r="C7" s="53"/>
      <c r="D7" s="53"/>
      <c r="E7" s="53"/>
      <c r="F7" s="48"/>
      <c r="G7" s="48"/>
      <c r="H7" s="48"/>
      <c r="I7" s="48"/>
      <c r="J7" s="48"/>
    </row>
    <row r="8" spans="1:10" x14ac:dyDescent="0.3">
      <c r="A8" s="53" t="s">
        <v>124</v>
      </c>
      <c r="B8" s="53"/>
      <c r="C8" s="53"/>
      <c r="D8" s="53"/>
      <c r="E8" s="53"/>
      <c r="F8" s="48">
        <f>'Working Capital'!H6-'Working Capital'!I6</f>
        <v>1178.2593972602735</v>
      </c>
      <c r="G8" s="48">
        <f>'Working Capital'!I6-'Working Capital'!J6</f>
        <v>-1715.7392482191754</v>
      </c>
      <c r="H8" s="48">
        <f>'Working Capital'!J6-'Working Capital'!K6</f>
        <v>-1852.9983880767177</v>
      </c>
      <c r="I8" s="48">
        <f>'Working Capital'!K6-'Working Capital'!L6</f>
        <v>-2001.2382591228488</v>
      </c>
      <c r="J8" s="48">
        <f>'Working Capital'!L6-'Working Capital'!M6</f>
        <v>-2161.3373198526788</v>
      </c>
    </row>
    <row r="9" spans="1:10" x14ac:dyDescent="0.3">
      <c r="A9" s="53" t="s">
        <v>90</v>
      </c>
      <c r="B9" s="53"/>
      <c r="C9" s="53"/>
      <c r="D9" s="53"/>
      <c r="E9" s="53"/>
      <c r="F9" s="48">
        <f>'Working Capital'!H7-'Working Capital'!I7</f>
        <v>-502.81512438356003</v>
      </c>
      <c r="G9" s="48">
        <f>'Working Capital'!I7-'Working Capital'!J7</f>
        <v>-3058.3052099506822</v>
      </c>
      <c r="H9" s="48">
        <f>'Working Capital'!J7-'Working Capital'!K7</f>
        <v>-3302.9696267467443</v>
      </c>
      <c r="I9" s="48">
        <f>'Working Capital'!K7-'Working Capital'!L7</f>
        <v>-3567.2071968864839</v>
      </c>
      <c r="J9" s="48">
        <f>'Working Capital'!L7-'Working Capital'!M7</f>
        <v>-3852.5837726374011</v>
      </c>
    </row>
    <row r="10" spans="1:10" x14ac:dyDescent="0.3">
      <c r="A10" s="53" t="s">
        <v>125</v>
      </c>
      <c r="B10" s="53"/>
      <c r="C10" s="53"/>
      <c r="D10" s="53"/>
      <c r="E10" s="53"/>
      <c r="F10" s="48">
        <f>'Working Capital'!I8-'Working Capital'!H8</f>
        <v>-8972.8801643835614</v>
      </c>
      <c r="G10" s="48">
        <f>'Working Capital'!J8-'Working Capital'!I8</f>
        <v>6648.4895868493186</v>
      </c>
      <c r="H10" s="48">
        <f>'Working Capital'!K8-'Working Capital'!J8</f>
        <v>7180.3687537972728</v>
      </c>
      <c r="I10" s="48">
        <f>'Working Capital'!L8-'Working Capital'!K8</f>
        <v>7754.798254101057</v>
      </c>
      <c r="J10" s="48">
        <f>'Working Capital'!M8-'Working Capital'!L8</f>
        <v>8375.1821144291316</v>
      </c>
    </row>
    <row r="11" spans="1:10" x14ac:dyDescent="0.3">
      <c r="A11" s="53" t="s">
        <v>126</v>
      </c>
      <c r="B11" s="53"/>
      <c r="C11" s="53"/>
      <c r="D11" s="53"/>
      <c r="E11" s="53"/>
      <c r="F11" s="34">
        <f>SUM(F5:F10)</f>
        <v>227538.19402687671</v>
      </c>
      <c r="G11" s="34">
        <f t="shared" ref="G11:J11" si="0">SUM(G5:G10)</f>
        <v>258632.83026815017</v>
      </c>
      <c r="H11" s="34">
        <f t="shared" si="0"/>
        <v>278882.3212677422</v>
      </c>
      <c r="I11" s="34">
        <f t="shared" si="0"/>
        <v>300772.02759471384</v>
      </c>
      <c r="J11" s="34">
        <f t="shared" si="0"/>
        <v>324435.35143147863</v>
      </c>
    </row>
    <row r="12" spans="1:10" x14ac:dyDescent="0.3">
      <c r="A12" s="53" t="s">
        <v>127</v>
      </c>
      <c r="B12" s="53"/>
      <c r="C12" s="53"/>
      <c r="D12" s="53"/>
      <c r="E12" s="53"/>
      <c r="F12" s="48">
        <f>'Colgate IS'!J21</f>
        <v>56772.131529187813</v>
      </c>
      <c r="G12" s="48">
        <f>'Colgate IS'!K21</f>
        <v>62312.021024787035</v>
      </c>
      <c r="H12" s="48">
        <f>'Colgate IS'!L21</f>
        <v>67577.79966523996</v>
      </c>
      <c r="I12" s="48">
        <f>'Colgate IS'!M21</f>
        <v>73194.962054744057</v>
      </c>
      <c r="J12" s="48">
        <f>'Colgate IS'!N21</f>
        <v>79221.951508946266</v>
      </c>
    </row>
    <row r="13" spans="1:10" x14ac:dyDescent="0.3">
      <c r="A13" s="54" t="s">
        <v>128</v>
      </c>
      <c r="B13" s="54"/>
      <c r="C13" s="54"/>
      <c r="D13" s="54"/>
      <c r="E13" s="54"/>
      <c r="F13" s="22">
        <f>F11-F12</f>
        <v>170766.06249768889</v>
      </c>
      <c r="G13" s="22">
        <f t="shared" ref="G13:J13" si="1">G11-G12</f>
        <v>196320.80924336312</v>
      </c>
      <c r="H13" s="22">
        <f t="shared" si="1"/>
        <v>211304.52160250224</v>
      </c>
      <c r="I13" s="22">
        <f t="shared" si="1"/>
        <v>227577.06553996977</v>
      </c>
      <c r="J13" s="22">
        <f t="shared" si="1"/>
        <v>245213.39992253238</v>
      </c>
    </row>
    <row r="14" spans="1:10" x14ac:dyDescent="0.3">
      <c r="A14" s="53"/>
      <c r="B14" s="53"/>
      <c r="C14" s="53"/>
      <c r="D14" s="53"/>
      <c r="E14" s="53"/>
      <c r="F14" s="21"/>
      <c r="G14" s="21"/>
      <c r="H14" s="21"/>
      <c r="I14" s="21"/>
      <c r="J14" s="21"/>
    </row>
    <row r="15" spans="1:10" x14ac:dyDescent="0.3">
      <c r="A15" s="54" t="s">
        <v>129</v>
      </c>
      <c r="B15" s="54"/>
      <c r="C15" s="54"/>
      <c r="D15" s="54"/>
      <c r="E15" s="54"/>
      <c r="F15" s="21"/>
      <c r="G15" s="21"/>
      <c r="H15" s="21"/>
      <c r="I15" s="21"/>
      <c r="J15" s="21"/>
    </row>
    <row r="16" spans="1:10" x14ac:dyDescent="0.3">
      <c r="A16" s="53" t="s">
        <v>95</v>
      </c>
      <c r="B16" s="53"/>
      <c r="C16" s="53"/>
      <c r="D16" s="53"/>
      <c r="E16" s="53"/>
      <c r="F16" s="48">
        <f>'Dep Capex'!I11</f>
        <v>8480.3986800000002</v>
      </c>
      <c r="G16" s="48">
        <f>'Dep Capex'!J11</f>
        <v>9158.830574399999</v>
      </c>
      <c r="H16" s="48">
        <f>'Dep Capex'!K11</f>
        <v>10080.273601612502</v>
      </c>
      <c r="I16" s="48">
        <f>'Dep Capex'!L11</f>
        <v>10682.85998198016</v>
      </c>
      <c r="J16" s="48">
        <f>'Dep Capex'!M11</f>
        <v>11537.488780538575</v>
      </c>
    </row>
    <row r="17" spans="1:10" x14ac:dyDescent="0.3">
      <c r="A17" s="54" t="s">
        <v>130</v>
      </c>
      <c r="B17" s="54"/>
      <c r="C17" s="54"/>
      <c r="D17" s="54"/>
      <c r="E17" s="54"/>
      <c r="F17" s="22">
        <f>-F16</f>
        <v>-8480.3986800000002</v>
      </c>
      <c r="G17" s="22">
        <f t="shared" ref="G17:J17" si="2">-G16</f>
        <v>-9158.830574399999</v>
      </c>
      <c r="H17" s="22">
        <f t="shared" si="2"/>
        <v>-10080.273601612502</v>
      </c>
      <c r="I17" s="22">
        <f t="shared" si="2"/>
        <v>-10682.85998198016</v>
      </c>
      <c r="J17" s="22">
        <f t="shared" si="2"/>
        <v>-11537.488780538575</v>
      </c>
    </row>
    <row r="18" spans="1:10" x14ac:dyDescent="0.3">
      <c r="A18" s="53"/>
      <c r="B18" s="53"/>
      <c r="C18" s="53"/>
      <c r="D18" s="53"/>
      <c r="E18" s="53"/>
      <c r="F18" s="21"/>
      <c r="G18" s="21"/>
      <c r="H18" s="21"/>
      <c r="I18" s="21"/>
      <c r="J18" s="21"/>
    </row>
    <row r="19" spans="1:10" x14ac:dyDescent="0.3">
      <c r="A19" s="54" t="s">
        <v>131</v>
      </c>
      <c r="B19" s="54"/>
      <c r="C19" s="54"/>
      <c r="D19" s="54"/>
      <c r="E19" s="54"/>
      <c r="F19" s="21"/>
      <c r="G19" s="21"/>
      <c r="H19" s="21"/>
      <c r="I19" s="21"/>
      <c r="J19" s="21"/>
    </row>
    <row r="20" spans="1:10" x14ac:dyDescent="0.3">
      <c r="A20" s="53" t="s">
        <v>18</v>
      </c>
      <c r="B20" s="53"/>
      <c r="C20" s="53"/>
      <c r="D20" s="53"/>
      <c r="E20" s="53"/>
      <c r="F20" s="48">
        <f>'Colgate IS'!J22</f>
        <v>165863.67838919576</v>
      </c>
      <c r="G20" s="48">
        <f>'Colgate IS'!K22</f>
        <v>182048.84573908368</v>
      </c>
      <c r="H20" s="48">
        <f>'Colgate IS'!L22</f>
        <v>197433.17941413241</v>
      </c>
      <c r="I20" s="48">
        <f>'Colgate IS'!M22</f>
        <v>213844.10482660518</v>
      </c>
      <c r="J20" s="48">
        <f>'Colgate IS'!N22</f>
        <v>231452.36813398026</v>
      </c>
    </row>
    <row r="21" spans="1:10" x14ac:dyDescent="0.3">
      <c r="A21" s="53" t="s">
        <v>132</v>
      </c>
      <c r="B21" s="53"/>
      <c r="C21" s="53"/>
      <c r="D21" s="53"/>
      <c r="E21" s="53"/>
      <c r="F21" s="21">
        <f>F20*F32</f>
        <v>140984.1266308164</v>
      </c>
      <c r="G21" s="21">
        <f>G20*G32</f>
        <v>154741.51887822113</v>
      </c>
      <c r="H21" s="21">
        <f>H20*H32</f>
        <v>167818.20250201254</v>
      </c>
      <c r="I21" s="21">
        <f>I20*I32</f>
        <v>181767.4891026144</v>
      </c>
      <c r="J21" s="21">
        <f>J20*J32</f>
        <v>196734.51291388323</v>
      </c>
    </row>
    <row r="22" spans="1:10" x14ac:dyDescent="0.3">
      <c r="A22" s="54" t="s">
        <v>134</v>
      </c>
      <c r="B22" s="54"/>
      <c r="C22" s="54"/>
      <c r="D22" s="54"/>
      <c r="E22" s="54"/>
      <c r="F22" s="21">
        <f>-F21</f>
        <v>-140984.1266308164</v>
      </c>
      <c r="G22" s="21">
        <f t="shared" ref="G22:J22" si="3">-G21</f>
        <v>-154741.51887822113</v>
      </c>
      <c r="H22" s="21">
        <f t="shared" si="3"/>
        <v>-167818.20250201254</v>
      </c>
      <c r="I22" s="21">
        <f t="shared" si="3"/>
        <v>-181767.4891026144</v>
      </c>
      <c r="J22" s="21">
        <f t="shared" si="3"/>
        <v>-196734.51291388323</v>
      </c>
    </row>
    <row r="23" spans="1:10" x14ac:dyDescent="0.3">
      <c r="A23" s="53"/>
      <c r="B23" s="53"/>
      <c r="C23" s="53"/>
      <c r="D23" s="53"/>
      <c r="E23" s="53"/>
      <c r="F23" s="21"/>
      <c r="G23" s="21"/>
      <c r="H23" s="21"/>
      <c r="I23" s="21"/>
      <c r="J23" s="21"/>
    </row>
    <row r="24" spans="1:10" x14ac:dyDescent="0.3">
      <c r="A24" s="53"/>
      <c r="B24" s="53"/>
      <c r="C24" s="53"/>
      <c r="D24" s="53"/>
      <c r="E24" s="53"/>
      <c r="F24" s="21"/>
      <c r="G24" s="21"/>
      <c r="H24" s="21"/>
      <c r="I24" s="21"/>
      <c r="J24" s="21"/>
    </row>
    <row r="25" spans="1:10" x14ac:dyDescent="0.3">
      <c r="A25" s="53" t="s">
        <v>135</v>
      </c>
      <c r="B25" s="53"/>
      <c r="C25" s="53"/>
      <c r="D25" s="53"/>
      <c r="E25" s="53"/>
      <c r="F25" s="21">
        <f>F13+F17+F22</f>
        <v>21301.537186872476</v>
      </c>
      <c r="G25" s="21">
        <f t="shared" ref="G25:J25" si="4">G13+G17+G22</f>
        <v>32420.459790741996</v>
      </c>
      <c r="H25" s="21">
        <f t="shared" si="4"/>
        <v>33406.045498877182</v>
      </c>
      <c r="I25" s="21">
        <f t="shared" si="4"/>
        <v>35126.716455375194</v>
      </c>
      <c r="J25" s="21">
        <f t="shared" si="4"/>
        <v>36941.398228110571</v>
      </c>
    </row>
    <row r="26" spans="1:10" x14ac:dyDescent="0.3">
      <c r="A26" s="53" t="s">
        <v>136</v>
      </c>
      <c r="B26" s="53"/>
      <c r="C26" s="53"/>
      <c r="D26" s="53"/>
      <c r="E26" s="53"/>
      <c r="F26" s="48">
        <f>'Colgate BS'!H19</f>
        <v>66810</v>
      </c>
      <c r="G26" s="21">
        <f>F27</f>
        <v>88111.537186872476</v>
      </c>
      <c r="H26" s="21">
        <f t="shared" ref="H26:J26" si="5">G27</f>
        <v>120531.99697761447</v>
      </c>
      <c r="I26" s="21">
        <f t="shared" si="5"/>
        <v>153938.04247649165</v>
      </c>
      <c r="J26" s="21">
        <f t="shared" si="5"/>
        <v>189064.75893186685</v>
      </c>
    </row>
    <row r="27" spans="1:10" x14ac:dyDescent="0.3">
      <c r="A27" s="54" t="s">
        <v>137</v>
      </c>
      <c r="B27" s="54"/>
      <c r="C27" s="54"/>
      <c r="D27" s="54"/>
      <c r="E27" s="54"/>
      <c r="F27" s="22">
        <f>F25+F26</f>
        <v>88111.537186872476</v>
      </c>
      <c r="G27" s="22">
        <f t="shared" ref="G27:J27" si="6">G25+G26</f>
        <v>120531.99697761447</v>
      </c>
      <c r="H27" s="22">
        <f t="shared" si="6"/>
        <v>153938.04247649165</v>
      </c>
      <c r="I27" s="22">
        <f t="shared" si="6"/>
        <v>189064.75893186685</v>
      </c>
      <c r="J27" s="22">
        <f t="shared" si="6"/>
        <v>226006.15715997742</v>
      </c>
    </row>
    <row r="28" spans="1:10" x14ac:dyDescent="0.3">
      <c r="F28" s="2"/>
      <c r="G28" s="2"/>
      <c r="H28" s="2"/>
      <c r="I28" s="2"/>
      <c r="J28" s="2"/>
    </row>
    <row r="29" spans="1:10" x14ac:dyDescent="0.3">
      <c r="F29" s="2"/>
      <c r="G29" s="2"/>
      <c r="H29" s="2"/>
      <c r="I29" s="2"/>
      <c r="J29" s="2"/>
    </row>
    <row r="32" spans="1:10" x14ac:dyDescent="0.3">
      <c r="A32" t="s">
        <v>132</v>
      </c>
      <c r="B32" t="s">
        <v>133</v>
      </c>
      <c r="F32" s="11">
        <v>0.85</v>
      </c>
      <c r="G32" s="11">
        <v>0.85</v>
      </c>
      <c r="H32" s="11">
        <v>0.85</v>
      </c>
      <c r="I32" s="11">
        <v>0.85</v>
      </c>
      <c r="J32" s="11">
        <v>0.85</v>
      </c>
    </row>
  </sheetData>
  <mergeCells count="26">
    <mergeCell ref="A25:E25"/>
    <mergeCell ref="A26:E26"/>
    <mergeCell ref="A27:E27"/>
    <mergeCell ref="A19:E19"/>
    <mergeCell ref="A20:E20"/>
    <mergeCell ref="A21:E21"/>
    <mergeCell ref="A22:E22"/>
    <mergeCell ref="A23:E23"/>
    <mergeCell ref="A24:E24"/>
    <mergeCell ref="A18:E18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:E2"/>
    <mergeCell ref="F1:J2"/>
    <mergeCell ref="A4:E4"/>
    <mergeCell ref="A5:E5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C9F4-C1D2-4944-AA4D-D7497D2EF60D}">
  <dimension ref="A1:N20"/>
  <sheetViews>
    <sheetView zoomScale="70" zoomScaleNormal="70" workbookViewId="0">
      <selection activeCell="J24" sqref="J24"/>
    </sheetView>
  </sheetViews>
  <sheetFormatPr defaultRowHeight="14.4" x14ac:dyDescent="0.3"/>
  <cols>
    <col min="4" max="4" width="9.77734375" customWidth="1"/>
    <col min="5" max="5" width="16.77734375" customWidth="1"/>
    <col min="9" max="9" width="10.109375" bestFit="1" customWidth="1"/>
    <col min="10" max="10" width="10.21875" bestFit="1" customWidth="1"/>
    <col min="11" max="11" width="16.21875" bestFit="1" customWidth="1"/>
    <col min="12" max="12" width="10.44140625" bestFit="1" customWidth="1"/>
    <col min="13" max="13" width="11.109375" customWidth="1"/>
  </cols>
  <sheetData>
    <row r="1" spans="1:14" x14ac:dyDescent="0.3">
      <c r="A1" s="63" t="s">
        <v>62</v>
      </c>
      <c r="B1" s="63"/>
      <c r="C1" s="63"/>
      <c r="D1" s="63"/>
      <c r="E1" s="63"/>
      <c r="F1" s="55" t="s">
        <v>2</v>
      </c>
      <c r="G1" s="55"/>
      <c r="H1" s="55"/>
      <c r="I1" s="55" t="s">
        <v>3</v>
      </c>
      <c r="J1" s="55"/>
      <c r="K1" s="55"/>
      <c r="L1" s="55"/>
      <c r="M1" s="55"/>
    </row>
    <row r="2" spans="1:14" x14ac:dyDescent="0.3">
      <c r="A2" s="63"/>
      <c r="B2" s="63"/>
      <c r="C2" s="63"/>
      <c r="D2" s="63"/>
      <c r="E2" s="63"/>
      <c r="F2" s="56"/>
      <c r="G2" s="56"/>
      <c r="H2" s="56"/>
      <c r="I2" s="56"/>
      <c r="J2" s="56"/>
      <c r="K2" s="56"/>
      <c r="L2" s="56"/>
      <c r="M2" s="56"/>
    </row>
    <row r="3" spans="1:14" x14ac:dyDescent="0.3">
      <c r="A3" s="15" t="s">
        <v>20</v>
      </c>
      <c r="B3" s="15"/>
      <c r="C3" s="15"/>
      <c r="D3" s="15"/>
      <c r="E3" s="15"/>
      <c r="F3" s="16">
        <v>2023</v>
      </c>
      <c r="G3" s="16">
        <v>2024</v>
      </c>
      <c r="H3" s="16">
        <v>2025</v>
      </c>
      <c r="I3" s="16">
        <v>2026</v>
      </c>
      <c r="J3" s="16">
        <v>2027</v>
      </c>
      <c r="K3" s="16">
        <v>2028</v>
      </c>
      <c r="L3" s="16">
        <v>2029</v>
      </c>
      <c r="M3" s="16">
        <v>2030</v>
      </c>
    </row>
    <row r="4" spans="1:14" x14ac:dyDescent="0.3">
      <c r="A4" s="53"/>
      <c r="B4" s="53"/>
      <c r="C4" s="53"/>
      <c r="D4" s="53"/>
      <c r="E4" s="53"/>
      <c r="F4" s="14"/>
      <c r="G4" s="14"/>
      <c r="H4" s="14"/>
      <c r="I4" s="14"/>
      <c r="J4" s="14"/>
      <c r="K4" s="14"/>
      <c r="L4" s="14"/>
      <c r="M4" s="14"/>
    </row>
    <row r="5" spans="1:14" x14ac:dyDescent="0.3">
      <c r="A5" s="53" t="s">
        <v>71</v>
      </c>
      <c r="B5" s="53"/>
      <c r="C5" s="53"/>
      <c r="D5" s="53"/>
      <c r="E5" s="53"/>
      <c r="F5" s="48">
        <v>96297</v>
      </c>
      <c r="G5" s="48">
        <f>'Colgate BS'!F6</f>
        <v>86179.92</v>
      </c>
      <c r="H5" s="48">
        <f>'Colgate BS'!G6</f>
        <v>79407</v>
      </c>
      <c r="I5" s="48">
        <f>'Colgate BS'!H6</f>
        <v>77646</v>
      </c>
      <c r="J5" s="21">
        <f>I13</f>
        <v>72926.578679999991</v>
      </c>
      <c r="K5" s="21">
        <f t="shared" ref="K5:M5" si="0">J13</f>
        <v>69687.890878799983</v>
      </c>
      <c r="L5" s="21">
        <f t="shared" si="0"/>
        <v>67921.223031016489</v>
      </c>
      <c r="M5" s="21">
        <f t="shared" si="0"/>
        <v>67057.475097723844</v>
      </c>
    </row>
    <row r="6" spans="1:14" x14ac:dyDescent="0.3">
      <c r="A6" s="53"/>
      <c r="B6" s="53"/>
      <c r="C6" s="53"/>
      <c r="D6" s="53"/>
      <c r="E6" s="53"/>
      <c r="F6" s="14"/>
      <c r="G6" s="14"/>
      <c r="H6" s="14"/>
      <c r="I6" s="14"/>
      <c r="J6" s="14"/>
      <c r="K6" s="14"/>
      <c r="L6" s="14"/>
      <c r="M6" s="14"/>
    </row>
    <row r="7" spans="1:14" x14ac:dyDescent="0.3">
      <c r="A7" s="53" t="s">
        <v>63</v>
      </c>
      <c r="B7" s="53"/>
      <c r="C7" s="53"/>
      <c r="D7" s="53"/>
      <c r="E7" s="53"/>
      <c r="F7" s="48">
        <f>'Colgate IS'!G17</f>
        <v>17480.37</v>
      </c>
      <c r="G7" s="48">
        <f>'Colgate IS'!H17</f>
        <v>17151.05</v>
      </c>
      <c r="H7" s="48">
        <f>'Colgate IS'!I17</f>
        <v>16274</v>
      </c>
      <c r="I7" s="21">
        <f>I5*I8</f>
        <v>13199.820000000002</v>
      </c>
      <c r="J7" s="21">
        <f t="shared" ref="J7:M7" si="1">J5*J8</f>
        <v>12397.518375599999</v>
      </c>
      <c r="K7" s="21">
        <f t="shared" si="1"/>
        <v>11846.941449395998</v>
      </c>
      <c r="L7" s="21">
        <f t="shared" si="1"/>
        <v>11546.607915272803</v>
      </c>
      <c r="M7" s="21">
        <f t="shared" si="1"/>
        <v>11399.770766613054</v>
      </c>
    </row>
    <row r="8" spans="1:14" x14ac:dyDescent="0.3">
      <c r="A8" s="53" t="s">
        <v>72</v>
      </c>
      <c r="B8" s="53"/>
      <c r="C8" s="53"/>
      <c r="D8" s="53"/>
      <c r="E8" s="53"/>
      <c r="F8" s="24">
        <f>F7/F5</f>
        <v>0.1815255926975918</v>
      </c>
      <c r="G8" s="24">
        <f>G7/G5</f>
        <v>0.19901445719606145</v>
      </c>
      <c r="H8" s="24">
        <f t="shared" ref="H8" si="2">H7/H5</f>
        <v>0.2049441485007619</v>
      </c>
      <c r="I8" s="24">
        <v>0.17</v>
      </c>
      <c r="J8" s="24">
        <v>0.17</v>
      </c>
      <c r="K8" s="24">
        <v>0.17</v>
      </c>
      <c r="L8" s="24">
        <v>0.17</v>
      </c>
      <c r="M8" s="24">
        <v>0.17</v>
      </c>
    </row>
    <row r="9" spans="1:14" x14ac:dyDescent="0.3">
      <c r="A9" s="53"/>
      <c r="B9" s="53"/>
      <c r="C9" s="53"/>
      <c r="D9" s="53"/>
      <c r="E9" s="53"/>
      <c r="F9" s="14"/>
      <c r="G9" s="14"/>
      <c r="H9" s="14"/>
      <c r="I9" s="14"/>
      <c r="J9" s="14"/>
      <c r="K9" s="14"/>
      <c r="L9" s="14"/>
      <c r="M9" s="14"/>
    </row>
    <row r="10" spans="1:14" x14ac:dyDescent="0.3">
      <c r="A10" s="53" t="s">
        <v>67</v>
      </c>
      <c r="B10" s="53"/>
      <c r="C10" s="53"/>
      <c r="D10" s="53"/>
      <c r="E10" s="53"/>
      <c r="F10" s="14">
        <v>96297</v>
      </c>
      <c r="G10" s="21">
        <f>F13</f>
        <v>86179.92</v>
      </c>
      <c r="H10" s="21">
        <f>G13</f>
        <v>79407</v>
      </c>
      <c r="I10" s="21">
        <f>H13</f>
        <v>77646</v>
      </c>
      <c r="J10" s="21">
        <f>I13</f>
        <v>72926.578679999991</v>
      </c>
      <c r="K10" s="21">
        <f>J13</f>
        <v>69687.890878799983</v>
      </c>
      <c r="L10" s="21">
        <f t="shared" ref="L10:M10" si="3">K13</f>
        <v>67921.223031016489</v>
      </c>
      <c r="M10" s="21">
        <f t="shared" si="3"/>
        <v>67057.475097723844</v>
      </c>
    </row>
    <row r="11" spans="1:14" x14ac:dyDescent="0.3">
      <c r="A11" s="53" t="s">
        <v>68</v>
      </c>
      <c r="B11" s="53"/>
      <c r="C11" s="53"/>
      <c r="D11" s="53"/>
      <c r="E11" s="53"/>
      <c r="F11" s="35"/>
      <c r="G11" s="14"/>
      <c r="H11" s="14"/>
      <c r="I11" s="48">
        <f>F20*'Colgate IS'!J4</f>
        <v>8480.3986800000002</v>
      </c>
      <c r="J11" s="48">
        <f>F20*'Colgate IS'!K4</f>
        <v>9158.830574399999</v>
      </c>
      <c r="K11" s="48">
        <f>'Colgate IS'!L6*'Dep Capex'!F20</f>
        <v>10080.273601612502</v>
      </c>
      <c r="L11" s="48">
        <f>F20*'Colgate IS'!M4</f>
        <v>10682.85998198016</v>
      </c>
      <c r="M11" s="48">
        <f>F20*'Colgate IS'!N4</f>
        <v>11537.488780538575</v>
      </c>
    </row>
    <row r="12" spans="1:14" x14ac:dyDescent="0.3">
      <c r="A12" s="53" t="s">
        <v>69</v>
      </c>
      <c r="B12" s="53"/>
      <c r="C12" s="53"/>
      <c r="D12" s="53"/>
      <c r="E12" s="53"/>
      <c r="F12" s="21">
        <f>F7</f>
        <v>17480.37</v>
      </c>
      <c r="G12" s="21">
        <f t="shared" ref="G12:M12" si="4">G7</f>
        <v>17151.05</v>
      </c>
      <c r="H12" s="21">
        <f t="shared" si="4"/>
        <v>16274</v>
      </c>
      <c r="I12" s="21">
        <f t="shared" si="4"/>
        <v>13199.820000000002</v>
      </c>
      <c r="J12" s="21">
        <f>J7</f>
        <v>12397.518375599999</v>
      </c>
      <c r="K12" s="21">
        <f t="shared" si="4"/>
        <v>11846.941449395998</v>
      </c>
      <c r="L12" s="21">
        <f t="shared" si="4"/>
        <v>11546.607915272803</v>
      </c>
      <c r="M12" s="21">
        <f t="shared" si="4"/>
        <v>11399.770766613054</v>
      </c>
    </row>
    <row r="13" spans="1:14" x14ac:dyDescent="0.3">
      <c r="A13" s="9" t="s">
        <v>70</v>
      </c>
      <c r="B13" s="9"/>
      <c r="C13" s="9"/>
      <c r="D13" s="9"/>
      <c r="E13" s="9"/>
      <c r="F13" s="50">
        <f>'Colgate BS'!F6</f>
        <v>86179.92</v>
      </c>
      <c r="G13" s="50">
        <f>'Colgate BS'!G6</f>
        <v>79407</v>
      </c>
      <c r="H13" s="50">
        <f>'Colgate BS'!H6</f>
        <v>77646</v>
      </c>
      <c r="I13" s="36">
        <f>I10+I11-I12</f>
        <v>72926.578679999991</v>
      </c>
      <c r="J13" s="36">
        <f>J10+J11-J12</f>
        <v>69687.890878799983</v>
      </c>
      <c r="K13" s="36">
        <f>K10+K11-K12</f>
        <v>67921.223031016489</v>
      </c>
      <c r="L13" s="36">
        <f t="shared" ref="L13:M13" si="5">L10+L11-L12</f>
        <v>67057.475097723844</v>
      </c>
      <c r="M13" s="36">
        <f t="shared" si="5"/>
        <v>67195.193111649365</v>
      </c>
      <c r="N13" s="2"/>
    </row>
    <row r="15" spans="1:14" x14ac:dyDescent="0.3">
      <c r="A15" s="9" t="s">
        <v>73</v>
      </c>
      <c r="B15" s="9">
        <v>2023</v>
      </c>
      <c r="C15" s="9">
        <v>2024</v>
      </c>
      <c r="D15" s="9">
        <v>2025</v>
      </c>
    </row>
    <row r="16" spans="1:14" x14ac:dyDescent="0.3">
      <c r="B16" s="2">
        <v>7009</v>
      </c>
      <c r="C16" s="2">
        <v>7556</v>
      </c>
      <c r="D16" s="2">
        <v>7142</v>
      </c>
    </row>
    <row r="17" spans="1:6" ht="14.4" customHeight="1" x14ac:dyDescent="0.3">
      <c r="A17" s="65" t="s">
        <v>74</v>
      </c>
    </row>
    <row r="18" spans="1:6" x14ac:dyDescent="0.3">
      <c r="A18" s="65"/>
      <c r="B18" s="7">
        <f>B16/'Colgate IS'!G6</f>
        <v>1.3275191944805202E-2</v>
      </c>
      <c r="C18" s="7">
        <f>C16/'Colgate IS'!H6</f>
        <v>1.312500542822154E-2</v>
      </c>
      <c r="D18" s="7">
        <f>D16/'Colgate IS'!I6</f>
        <v>1.1558485906318326E-2</v>
      </c>
    </row>
    <row r="19" spans="1:6" x14ac:dyDescent="0.3">
      <c r="A19" s="65"/>
    </row>
    <row r="20" spans="1:6" x14ac:dyDescent="0.3">
      <c r="B20" t="s">
        <v>75</v>
      </c>
      <c r="F20" s="8">
        <v>1.2999999999999999E-2</v>
      </c>
    </row>
  </sheetData>
  <mergeCells count="13">
    <mergeCell ref="A1:E2"/>
    <mergeCell ref="F1:H2"/>
    <mergeCell ref="I1:M2"/>
    <mergeCell ref="A17:A19"/>
    <mergeCell ref="A4:E4"/>
    <mergeCell ref="A5:E5"/>
    <mergeCell ref="A6:E6"/>
    <mergeCell ref="A7:E7"/>
    <mergeCell ref="A8:E8"/>
    <mergeCell ref="A9:E9"/>
    <mergeCell ref="A10:E10"/>
    <mergeCell ref="A11:E11"/>
    <mergeCell ref="A12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5967-33BC-4A0C-850D-D0E440C907A4}">
  <dimension ref="A1:M24"/>
  <sheetViews>
    <sheetView zoomScale="53" zoomScaleNormal="85" workbookViewId="0">
      <selection activeCell="F11" sqref="F11:M11"/>
    </sheetView>
  </sheetViews>
  <sheetFormatPr defaultRowHeight="14.4" x14ac:dyDescent="0.3"/>
  <cols>
    <col min="5" max="5" width="17.33203125" customWidth="1"/>
    <col min="6" max="6" width="13.44140625" bestFit="1" customWidth="1"/>
    <col min="7" max="7" width="13.21875" bestFit="1" customWidth="1"/>
    <col min="8" max="8" width="12.21875" bestFit="1" customWidth="1"/>
    <col min="9" max="9" width="12.77734375" bestFit="1" customWidth="1"/>
    <col min="10" max="10" width="13.21875" bestFit="1" customWidth="1"/>
    <col min="11" max="11" width="11.109375" customWidth="1"/>
    <col min="12" max="12" width="13.44140625" bestFit="1" customWidth="1"/>
    <col min="13" max="13" width="11.21875" customWidth="1"/>
  </cols>
  <sheetData>
    <row r="1" spans="1:13" x14ac:dyDescent="0.3">
      <c r="A1" s="63" t="s">
        <v>89</v>
      </c>
      <c r="B1" s="63"/>
      <c r="C1" s="63"/>
      <c r="D1" s="63"/>
      <c r="E1" s="63"/>
      <c r="F1" s="55" t="s">
        <v>2</v>
      </c>
      <c r="G1" s="55"/>
      <c r="H1" s="55"/>
      <c r="I1" s="55" t="s">
        <v>3</v>
      </c>
      <c r="J1" s="55"/>
      <c r="K1" s="55"/>
      <c r="L1" s="55"/>
      <c r="M1" s="55"/>
    </row>
    <row r="2" spans="1:13" x14ac:dyDescent="0.3">
      <c r="A2" s="63"/>
      <c r="B2" s="63"/>
      <c r="C2" s="63"/>
      <c r="D2" s="63"/>
      <c r="E2" s="63"/>
      <c r="F2" s="56"/>
      <c r="G2" s="56"/>
      <c r="H2" s="56"/>
      <c r="I2" s="56"/>
      <c r="J2" s="56"/>
      <c r="K2" s="56"/>
      <c r="L2" s="56"/>
      <c r="M2" s="56"/>
    </row>
    <row r="3" spans="1:13" x14ac:dyDescent="0.3">
      <c r="A3" s="15" t="s">
        <v>20</v>
      </c>
      <c r="B3" s="15"/>
      <c r="C3" s="15"/>
      <c r="D3" s="15"/>
      <c r="E3" s="15"/>
      <c r="F3" s="16">
        <v>2023</v>
      </c>
      <c r="G3" s="16">
        <v>2024</v>
      </c>
      <c r="H3" s="16">
        <v>2025</v>
      </c>
      <c r="I3" s="16">
        <v>2026</v>
      </c>
      <c r="J3" s="16">
        <v>2027</v>
      </c>
      <c r="K3" s="16">
        <v>2028</v>
      </c>
      <c r="L3" s="16">
        <v>2029</v>
      </c>
      <c r="M3" s="16">
        <v>2030</v>
      </c>
    </row>
    <row r="4" spans="1:13" x14ac:dyDescent="0.3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</row>
    <row r="5" spans="1:13" x14ac:dyDescent="0.3">
      <c r="A5" s="54" t="s">
        <v>76</v>
      </c>
      <c r="B5" s="54"/>
      <c r="C5" s="54"/>
      <c r="D5" s="54"/>
      <c r="E5" s="54"/>
    </row>
    <row r="6" spans="1:13" x14ac:dyDescent="0.3">
      <c r="A6" s="53" t="s">
        <v>77</v>
      </c>
      <c r="B6" s="53"/>
      <c r="C6" s="53"/>
      <c r="D6" s="53"/>
      <c r="E6" s="53"/>
      <c r="F6" s="48">
        <f>'Colgate BS'!F18</f>
        <v>15736.61</v>
      </c>
      <c r="G6" s="48">
        <f>'Colgate BS'!G18</f>
        <v>16739</v>
      </c>
      <c r="H6" s="48">
        <f>'Colgate BS'!H18</f>
        <v>22625</v>
      </c>
      <c r="I6" s="21">
        <f>I10/I14</f>
        <v>21446.740602739726</v>
      </c>
      <c r="J6" s="21">
        <f t="shared" ref="J6:M6" si="0">J10/J14</f>
        <v>23162.479850958902</v>
      </c>
      <c r="K6" s="21">
        <f t="shared" si="0"/>
        <v>25015.478239035619</v>
      </c>
      <c r="L6" s="21">
        <f t="shared" si="0"/>
        <v>27016.716498158468</v>
      </c>
      <c r="M6" s="21">
        <f t="shared" si="0"/>
        <v>29178.053818011147</v>
      </c>
    </row>
    <row r="7" spans="1:13" x14ac:dyDescent="0.3">
      <c r="A7" s="53" t="s">
        <v>90</v>
      </c>
      <c r="B7" s="53"/>
      <c r="C7" s="53"/>
      <c r="D7" s="53"/>
      <c r="E7" s="53"/>
      <c r="F7" s="48">
        <f>'Colgate BS'!F16</f>
        <v>33544.959999999999</v>
      </c>
      <c r="G7" s="48">
        <f>'Colgate BS'!G16</f>
        <v>29641</v>
      </c>
      <c r="H7" s="48">
        <f>'Colgate BS'!H16</f>
        <v>37726</v>
      </c>
      <c r="I7" s="21">
        <f>I11/I15</f>
        <v>38228.81512438356</v>
      </c>
      <c r="J7" s="21">
        <f t="shared" ref="J7:M7" si="1">J11/J15</f>
        <v>41287.120334334242</v>
      </c>
      <c r="K7" s="21">
        <f t="shared" si="1"/>
        <v>44590.089961080987</v>
      </c>
      <c r="L7" s="21">
        <f t="shared" si="1"/>
        <v>48157.29715796747</v>
      </c>
      <c r="M7" s="21">
        <f t="shared" si="1"/>
        <v>52009.880930604872</v>
      </c>
    </row>
    <row r="8" spans="1:13" x14ac:dyDescent="0.3">
      <c r="A8" s="53" t="s">
        <v>78</v>
      </c>
      <c r="B8" s="53"/>
      <c r="C8" s="53"/>
      <c r="D8" s="53"/>
      <c r="E8" s="53"/>
      <c r="F8" s="48">
        <f>'Colgate BS'!F44</f>
        <v>76112</v>
      </c>
      <c r="G8" s="48">
        <f>'Colgate BS'!G44</f>
        <v>88191</v>
      </c>
      <c r="H8" s="48">
        <f>'Colgate BS'!H44</f>
        <v>92079</v>
      </c>
      <c r="I8" s="21">
        <f>(I11/365)*I20</f>
        <v>83106.119835616439</v>
      </c>
      <c r="J8" s="21">
        <f t="shared" ref="J8:M8" si="2">(J11/365)*J20</f>
        <v>89754.609422465757</v>
      </c>
      <c r="K8" s="21">
        <f t="shared" si="2"/>
        <v>96934.97817626303</v>
      </c>
      <c r="L8" s="21">
        <f t="shared" si="2"/>
        <v>104689.77643036409</v>
      </c>
      <c r="M8" s="21">
        <f t="shared" si="2"/>
        <v>113064.95854479322</v>
      </c>
    </row>
    <row r="9" spans="1:13" x14ac:dyDescent="0.3">
      <c r="A9" s="53"/>
      <c r="B9" s="53"/>
      <c r="C9" s="53"/>
      <c r="D9" s="53"/>
      <c r="E9" s="53"/>
      <c r="F9" s="14"/>
      <c r="G9" s="14"/>
      <c r="H9" s="14"/>
      <c r="I9" s="14"/>
      <c r="J9" s="14"/>
      <c r="K9" s="14"/>
      <c r="L9" s="14"/>
      <c r="M9" s="14"/>
    </row>
    <row r="10" spans="1:13" x14ac:dyDescent="0.3">
      <c r="A10" s="54" t="s">
        <v>79</v>
      </c>
      <c r="B10" s="54"/>
      <c r="C10" s="54"/>
      <c r="D10" s="54"/>
      <c r="E10" s="54"/>
      <c r="F10" s="48">
        <f>'Colgate IS'!G4</f>
        <v>522619.71</v>
      </c>
      <c r="G10" s="48">
        <f>'Colgate IS'!H4</f>
        <v>568043</v>
      </c>
      <c r="H10" s="48">
        <f>'Colgate IS'!I4</f>
        <v>604017</v>
      </c>
      <c r="I10" s="48">
        <f>'Colgate IS'!J4</f>
        <v>652338.36</v>
      </c>
      <c r="J10" s="48">
        <f>'Colgate IS'!K4</f>
        <v>704525.42879999999</v>
      </c>
      <c r="K10" s="48">
        <f>'Colgate IS'!L4</f>
        <v>760887.46310400008</v>
      </c>
      <c r="L10" s="48">
        <f>'Colgate IS'!M4</f>
        <v>821758.4601523201</v>
      </c>
      <c r="M10" s="48">
        <f>'Colgate IS'!N4</f>
        <v>887499.13696450577</v>
      </c>
    </row>
    <row r="11" spans="1:13" x14ac:dyDescent="0.3">
      <c r="A11" s="54" t="s">
        <v>80</v>
      </c>
      <c r="B11" s="54"/>
      <c r="C11" s="54"/>
      <c r="D11" s="54"/>
      <c r="E11" s="54"/>
      <c r="F11" s="48">
        <f>SUM('Colgate IS'!G8:G9)</f>
        <v>179026.44</v>
      </c>
      <c r="G11" s="48">
        <f>SUM('Colgate IS'!H8:H9)</f>
        <v>170250.06</v>
      </c>
      <c r="H11" s="48">
        <f>SUM('Colgate IS'!I8:I9)</f>
        <v>188897</v>
      </c>
      <c r="I11" s="48">
        <f>SUM('Colgate IS'!J8:J9)</f>
        <v>202224.8916</v>
      </c>
      <c r="J11" s="48">
        <f>SUM('Colgate IS'!K8:K9)</f>
        <v>218402.88292800001</v>
      </c>
      <c r="K11" s="48">
        <f>SUM('Colgate IS'!L8:L9)</f>
        <v>235875.11356224003</v>
      </c>
      <c r="L11" s="48">
        <f>SUM('Colgate IS'!M8:M9)</f>
        <v>254745.12264721925</v>
      </c>
      <c r="M11" s="48">
        <f>SUM('Colgate IS'!N8:N9)</f>
        <v>275124.73245899682</v>
      </c>
    </row>
    <row r="12" spans="1:13" x14ac:dyDescent="0.3">
      <c r="A12" s="53"/>
      <c r="B12" s="53"/>
      <c r="C12" s="53"/>
      <c r="D12" s="53"/>
      <c r="E12" s="53"/>
      <c r="F12" s="14"/>
      <c r="G12" s="14"/>
      <c r="H12" s="14"/>
      <c r="I12" s="14"/>
      <c r="J12" s="14"/>
      <c r="K12" s="14"/>
      <c r="L12" s="14"/>
      <c r="M12" s="14"/>
    </row>
    <row r="13" spans="1:13" x14ac:dyDescent="0.3">
      <c r="A13" s="69" t="s">
        <v>81</v>
      </c>
      <c r="B13" s="69"/>
      <c r="C13" s="69"/>
      <c r="D13" s="69"/>
      <c r="E13" s="69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68" t="s">
        <v>82</v>
      </c>
      <c r="B14" s="68"/>
      <c r="C14" s="68"/>
      <c r="D14" s="68"/>
      <c r="E14" s="68"/>
      <c r="F14" s="37">
        <f>F10/F6</f>
        <v>33.210437953282188</v>
      </c>
      <c r="G14" s="37">
        <f t="shared" ref="G14:H14" si="3">G10/G6</f>
        <v>33.935300794551644</v>
      </c>
      <c r="H14" s="37">
        <f t="shared" si="3"/>
        <v>26.696883977900551</v>
      </c>
      <c r="I14" s="37">
        <f>365/I18</f>
        <v>30.416666666666668</v>
      </c>
      <c r="J14" s="37">
        <f t="shared" ref="J14:M14" si="4">365/J18</f>
        <v>30.416666666666668</v>
      </c>
      <c r="K14" s="37">
        <f t="shared" si="4"/>
        <v>30.416666666666668</v>
      </c>
      <c r="L14" s="37">
        <f t="shared" si="4"/>
        <v>30.416666666666668</v>
      </c>
      <c r="M14" s="37">
        <f t="shared" si="4"/>
        <v>30.416666666666668</v>
      </c>
    </row>
    <row r="15" spans="1:13" x14ac:dyDescent="0.3">
      <c r="A15" s="68" t="s">
        <v>83</v>
      </c>
      <c r="B15" s="68"/>
      <c r="C15" s="68"/>
      <c r="D15" s="68"/>
      <c r="E15" s="68"/>
      <c r="F15" s="37">
        <f>F11/F7</f>
        <v>5.3369102243675357</v>
      </c>
      <c r="G15" s="37">
        <f t="shared" ref="G15:H15" si="5">G11/G7</f>
        <v>5.7437353665530848</v>
      </c>
      <c r="H15" s="37">
        <f t="shared" si="5"/>
        <v>5.0070773471876162</v>
      </c>
      <c r="I15" s="37">
        <f>365/I19</f>
        <v>5.2898550724637685</v>
      </c>
      <c r="J15" s="37">
        <f t="shared" ref="J15:M15" si="6">365/J19</f>
        <v>5.2898550724637685</v>
      </c>
      <c r="K15" s="37">
        <f t="shared" si="6"/>
        <v>5.2898550724637685</v>
      </c>
      <c r="L15" s="37">
        <f t="shared" si="6"/>
        <v>5.2898550724637685</v>
      </c>
      <c r="M15" s="37">
        <f t="shared" si="6"/>
        <v>5.2898550724637685</v>
      </c>
    </row>
    <row r="16" spans="1:13" x14ac:dyDescent="0.3">
      <c r="A16" s="68" t="s">
        <v>84</v>
      </c>
      <c r="B16" s="68"/>
      <c r="C16" s="68"/>
      <c r="D16" s="68"/>
      <c r="E16" s="68"/>
      <c r="F16" s="37">
        <f>F11/F8</f>
        <v>2.3521447340760986</v>
      </c>
      <c r="G16" s="37">
        <f t="shared" ref="G16:H16" si="7">G11/G8</f>
        <v>1.9304697758274654</v>
      </c>
      <c r="H16" s="37">
        <f t="shared" si="7"/>
        <v>2.0514666753548583</v>
      </c>
      <c r="I16" s="37">
        <f t="shared" ref="I16:M16" si="8">365/I20</f>
        <v>2.4333333333333331</v>
      </c>
      <c r="J16" s="37">
        <f t="shared" si="8"/>
        <v>2.4333333333333331</v>
      </c>
      <c r="K16" s="37">
        <f t="shared" si="8"/>
        <v>2.4333333333333331</v>
      </c>
      <c r="L16" s="37">
        <f t="shared" si="8"/>
        <v>2.4333333333333331</v>
      </c>
      <c r="M16" s="37">
        <f t="shared" si="8"/>
        <v>2.4333333333333331</v>
      </c>
    </row>
    <row r="17" spans="1:13" x14ac:dyDescent="0.3">
      <c r="A17" s="68"/>
      <c r="B17" s="68"/>
      <c r="C17" s="68"/>
      <c r="D17" s="68"/>
      <c r="E17" s="68"/>
      <c r="F17" s="37"/>
      <c r="G17" s="37"/>
      <c r="H17" s="37"/>
      <c r="I17" s="37"/>
      <c r="J17" s="37"/>
      <c r="K17" s="37"/>
      <c r="L17" s="37"/>
      <c r="M17" s="37"/>
    </row>
    <row r="18" spans="1:13" x14ac:dyDescent="0.3">
      <c r="A18" s="68" t="s">
        <v>85</v>
      </c>
      <c r="B18" s="68"/>
      <c r="C18" s="68"/>
      <c r="D18" s="68"/>
      <c r="E18" s="68"/>
      <c r="F18" s="37">
        <f>365/F14</f>
        <v>10.990520525909748</v>
      </c>
      <c r="G18" s="37">
        <f t="shared" ref="G18:H18" si="9">365/G14</f>
        <v>10.755761447636887</v>
      </c>
      <c r="H18" s="37">
        <f t="shared" si="9"/>
        <v>13.672007575945711</v>
      </c>
      <c r="I18" s="37">
        <v>12</v>
      </c>
      <c r="J18" s="37">
        <v>12</v>
      </c>
      <c r="K18" s="37">
        <v>12</v>
      </c>
      <c r="L18" s="37">
        <v>12</v>
      </c>
      <c r="M18" s="37">
        <v>12</v>
      </c>
    </row>
    <row r="19" spans="1:13" x14ac:dyDescent="0.3">
      <c r="A19" s="68" t="s">
        <v>86</v>
      </c>
      <c r="B19" s="68"/>
      <c r="C19" s="68"/>
      <c r="D19" s="68"/>
      <c r="E19" s="68"/>
      <c r="F19" s="37">
        <f>365/F15</f>
        <v>68.391631984638693</v>
      </c>
      <c r="G19" s="37">
        <f t="shared" ref="G19:H19" si="10">365/G15</f>
        <v>63.547495959766479</v>
      </c>
      <c r="H19" s="37">
        <f t="shared" si="10"/>
        <v>72.89681678374987</v>
      </c>
      <c r="I19" s="37">
        <v>69</v>
      </c>
      <c r="J19" s="37">
        <v>69</v>
      </c>
      <c r="K19" s="37">
        <v>69</v>
      </c>
      <c r="L19" s="37">
        <v>69</v>
      </c>
      <c r="M19" s="37">
        <v>69</v>
      </c>
    </row>
    <row r="20" spans="1:13" x14ac:dyDescent="0.3">
      <c r="A20" s="68" t="s">
        <v>87</v>
      </c>
      <c r="B20" s="68"/>
      <c r="C20" s="68"/>
      <c r="D20" s="68"/>
      <c r="E20" s="68"/>
      <c r="F20" s="37">
        <f>365/F16</f>
        <v>155.17752573307047</v>
      </c>
      <c r="G20" s="37">
        <f t="shared" ref="G20:H20" si="11">365/G16</f>
        <v>189.07314922532186</v>
      </c>
      <c r="H20" s="37">
        <f t="shared" si="11"/>
        <v>177.92148631264658</v>
      </c>
      <c r="I20" s="37">
        <v>150</v>
      </c>
      <c r="J20" s="37">
        <v>150</v>
      </c>
      <c r="K20" s="37">
        <v>150</v>
      </c>
      <c r="L20" s="37">
        <v>150</v>
      </c>
      <c r="M20" s="37">
        <v>150</v>
      </c>
    </row>
    <row r="21" spans="1:13" x14ac:dyDescent="0.3">
      <c r="A21" s="66" t="s">
        <v>88</v>
      </c>
      <c r="B21" s="67"/>
      <c r="C21" s="67"/>
      <c r="D21" s="67"/>
      <c r="E21" s="67"/>
      <c r="F21" s="37">
        <f>F18+F19+-F20</f>
        <v>-75.795373222522031</v>
      </c>
      <c r="G21" s="37">
        <f t="shared" ref="G21:M21" si="12">G18+G19+-G20</f>
        <v>-114.76989181791849</v>
      </c>
      <c r="H21" s="37">
        <f t="shared" si="12"/>
        <v>-91.352661952950996</v>
      </c>
      <c r="I21" s="37">
        <f>I18+I19-I20</f>
        <v>-69</v>
      </c>
      <c r="J21" s="37">
        <f t="shared" si="12"/>
        <v>-69</v>
      </c>
      <c r="K21" s="37">
        <f t="shared" si="12"/>
        <v>-69</v>
      </c>
      <c r="L21" s="37">
        <f t="shared" si="12"/>
        <v>-69</v>
      </c>
      <c r="M21" s="37">
        <f t="shared" si="12"/>
        <v>-69</v>
      </c>
    </row>
    <row r="23" spans="1:13" x14ac:dyDescent="0.3">
      <c r="A23" s="10"/>
      <c r="F23" s="2"/>
      <c r="H23" s="2"/>
      <c r="I23" s="2"/>
      <c r="J23" s="2"/>
      <c r="K23" s="2"/>
      <c r="L23" s="2"/>
      <c r="M23" s="2"/>
    </row>
    <row r="24" spans="1:13" x14ac:dyDescent="0.3">
      <c r="H24" s="2"/>
    </row>
  </sheetData>
  <mergeCells count="21">
    <mergeCell ref="A1:E2"/>
    <mergeCell ref="F1:H2"/>
    <mergeCell ref="I1:M2"/>
    <mergeCell ref="A4:M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21:E21"/>
    <mergeCell ref="A16:E16"/>
    <mergeCell ref="A17:E17"/>
    <mergeCell ref="A18:E18"/>
    <mergeCell ref="A19:E19"/>
    <mergeCell ref="A20:E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C8A5-3DDD-42CD-8BD9-05A2BDC0E1D2}">
  <dimension ref="A1:H15"/>
  <sheetViews>
    <sheetView zoomScale="116" zoomScaleNormal="175" workbookViewId="0">
      <selection activeCell="G16" sqref="G16"/>
    </sheetView>
  </sheetViews>
  <sheetFormatPr defaultRowHeight="14.4" x14ac:dyDescent="0.3"/>
  <cols>
    <col min="1" max="1" width="15" customWidth="1"/>
    <col min="5" max="5" width="11.109375" customWidth="1"/>
  </cols>
  <sheetData>
    <row r="1" spans="1:8" ht="19.8" x14ac:dyDescent="0.4">
      <c r="A1" s="20" t="s">
        <v>93</v>
      </c>
      <c r="B1" s="20"/>
      <c r="C1" s="20"/>
      <c r="D1" s="20"/>
      <c r="E1" s="20"/>
      <c r="F1" s="15"/>
    </row>
    <row r="2" spans="1:8" x14ac:dyDescent="0.3">
      <c r="A2" s="15"/>
      <c r="B2" s="15">
        <v>2026</v>
      </c>
      <c r="C2" s="15">
        <v>2027</v>
      </c>
      <c r="D2" s="19">
        <v>2028</v>
      </c>
      <c r="E2" s="15">
        <v>2029</v>
      </c>
      <c r="F2" s="15">
        <v>2030</v>
      </c>
    </row>
    <row r="3" spans="1:8" x14ac:dyDescent="0.3">
      <c r="A3" t="s">
        <v>94</v>
      </c>
      <c r="B3" s="21">
        <f>'Colgate BS'!H7</f>
        <v>3841</v>
      </c>
      <c r="C3" s="21">
        <f>B9</f>
        <v>1272.059802</v>
      </c>
      <c r="D3" s="21">
        <f t="shared" ref="D3:F3" si="0">C9</f>
        <v>1373.8245861599999</v>
      </c>
      <c r="E3" s="21">
        <f t="shared" si="0"/>
        <v>1512.0410402418752</v>
      </c>
      <c r="F3" s="21">
        <f t="shared" si="0"/>
        <v>1602.4289972970239</v>
      </c>
    </row>
    <row r="4" spans="1:8" x14ac:dyDescent="0.3">
      <c r="A4" t="s">
        <v>95</v>
      </c>
      <c r="B4" s="48">
        <f>'Dep Capex'!I11</f>
        <v>8480.3986800000002</v>
      </c>
      <c r="C4" s="48">
        <f>'Dep Capex'!J11</f>
        <v>9158.830574399999</v>
      </c>
      <c r="D4" s="48">
        <f>'Dep Capex'!K11</f>
        <v>10080.273601612502</v>
      </c>
      <c r="E4" s="48">
        <f>'Dep Capex'!L11</f>
        <v>10682.85998198016</v>
      </c>
      <c r="F4" s="48">
        <f>'Dep Capex'!M11</f>
        <v>11537.488780538575</v>
      </c>
    </row>
    <row r="5" spans="1:8" x14ac:dyDescent="0.3">
      <c r="A5" s="71" t="s">
        <v>97</v>
      </c>
      <c r="B5" s="24">
        <v>0.15</v>
      </c>
      <c r="C5" s="24">
        <v>0.15</v>
      </c>
      <c r="D5" s="24">
        <v>0.15</v>
      </c>
      <c r="E5" s="24">
        <v>0.15</v>
      </c>
      <c r="F5" s="24">
        <v>0.15</v>
      </c>
    </row>
    <row r="6" spans="1:8" x14ac:dyDescent="0.3">
      <c r="A6" s="71"/>
      <c r="B6" s="38">
        <f>B4*B5</f>
        <v>1272.059802</v>
      </c>
      <c r="C6" s="38">
        <f t="shared" ref="C6:F6" si="1">C4*C5</f>
        <v>1373.8245861599999</v>
      </c>
      <c r="D6" s="38">
        <f t="shared" si="1"/>
        <v>1512.0410402418752</v>
      </c>
      <c r="E6" s="38">
        <f t="shared" si="1"/>
        <v>1602.4289972970239</v>
      </c>
      <c r="F6" s="38">
        <f t="shared" si="1"/>
        <v>1730.6233170807861</v>
      </c>
    </row>
    <row r="7" spans="1:8" x14ac:dyDescent="0.3">
      <c r="A7" s="12" t="s">
        <v>99</v>
      </c>
      <c r="B7" s="38">
        <f>B4-B6</f>
        <v>7208.3388780000005</v>
      </c>
      <c r="C7" s="38">
        <f t="shared" ref="C7:F7" si="2">C4-C6</f>
        <v>7785.0059882399992</v>
      </c>
      <c r="D7" s="38">
        <f t="shared" si="2"/>
        <v>8568.2325613706271</v>
      </c>
      <c r="E7" s="38">
        <f t="shared" si="2"/>
        <v>9080.4309846831366</v>
      </c>
      <c r="F7" s="38">
        <f t="shared" si="2"/>
        <v>9806.8654634577888</v>
      </c>
    </row>
    <row r="8" spans="1:8" x14ac:dyDescent="0.3">
      <c r="A8" t="s">
        <v>98</v>
      </c>
      <c r="B8" s="21">
        <f>B3+B7</f>
        <v>11049.338878</v>
      </c>
      <c r="C8" s="21">
        <f t="shared" ref="C8:F8" si="3">C3+C7</f>
        <v>9057.0657902399998</v>
      </c>
      <c r="D8" s="21">
        <f t="shared" si="3"/>
        <v>9942.0571475306278</v>
      </c>
      <c r="E8" s="21">
        <f t="shared" si="3"/>
        <v>10592.472024925011</v>
      </c>
      <c r="F8" s="21">
        <f t="shared" si="3"/>
        <v>11409.294460754812</v>
      </c>
    </row>
    <row r="9" spans="1:8" x14ac:dyDescent="0.3">
      <c r="A9" s="15" t="s">
        <v>96</v>
      </c>
      <c r="B9" s="39">
        <f>B6</f>
        <v>1272.059802</v>
      </c>
      <c r="C9" s="40">
        <f>C6</f>
        <v>1373.8245861599999</v>
      </c>
      <c r="D9" s="40">
        <f t="shared" ref="D9:F9" si="4">D6</f>
        <v>1512.0410402418752</v>
      </c>
      <c r="E9" s="40">
        <f t="shared" si="4"/>
        <v>1602.4289972970239</v>
      </c>
      <c r="F9" s="40">
        <f t="shared" si="4"/>
        <v>1730.6233170807861</v>
      </c>
    </row>
    <row r="11" spans="1:8" x14ac:dyDescent="0.3">
      <c r="A11" s="52"/>
      <c r="B11" s="52"/>
      <c r="C11" s="52"/>
      <c r="D11" s="52"/>
      <c r="E11" s="52"/>
      <c r="F11" s="52"/>
      <c r="G11" s="52"/>
      <c r="H11" s="52"/>
    </row>
    <row r="12" spans="1:8" x14ac:dyDescent="0.3">
      <c r="A12" s="52"/>
      <c r="B12" s="52"/>
      <c r="C12" s="52"/>
      <c r="D12" s="52"/>
      <c r="E12" s="52"/>
      <c r="F12" s="52"/>
      <c r="G12" s="52"/>
      <c r="H12" s="52"/>
    </row>
    <row r="13" spans="1:8" x14ac:dyDescent="0.3">
      <c r="A13" s="52"/>
      <c r="B13" s="52"/>
      <c r="C13" s="52"/>
      <c r="D13" s="52"/>
      <c r="E13" s="52"/>
      <c r="F13" s="52"/>
      <c r="G13" s="52"/>
      <c r="H13" s="52"/>
    </row>
    <row r="14" spans="1:8" x14ac:dyDescent="0.3">
      <c r="A14" s="52"/>
      <c r="B14" s="52"/>
      <c r="C14" s="52"/>
      <c r="D14" s="52"/>
      <c r="E14" s="52"/>
      <c r="F14" s="52"/>
      <c r="G14" s="52"/>
      <c r="H14" s="52"/>
    </row>
    <row r="15" spans="1:8" ht="14.4" customHeight="1" x14ac:dyDescent="0.3">
      <c r="C15" s="6"/>
    </row>
  </sheetData>
  <mergeCells count="1">
    <mergeCell ref="A5:A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D2B5-C4D8-44D8-AF73-339653358364}">
  <dimension ref="A1:G9"/>
  <sheetViews>
    <sheetView zoomScale="71" workbookViewId="0">
      <selection activeCell="C27" sqref="C27"/>
    </sheetView>
  </sheetViews>
  <sheetFormatPr defaultRowHeight="14.4" x14ac:dyDescent="0.3"/>
  <cols>
    <col min="1" max="1" width="22.109375" customWidth="1"/>
  </cols>
  <sheetData>
    <row r="1" spans="1:7" ht="21" x14ac:dyDescent="0.4">
      <c r="A1" s="18" t="s">
        <v>25</v>
      </c>
      <c r="B1" s="15"/>
      <c r="C1" s="15"/>
      <c r="D1" s="15"/>
      <c r="E1" s="15"/>
      <c r="F1" s="15"/>
      <c r="G1" s="15"/>
    </row>
    <row r="2" spans="1:7" x14ac:dyDescent="0.3">
      <c r="A2" s="15"/>
      <c r="B2" s="15"/>
      <c r="C2" s="15"/>
      <c r="D2" s="15"/>
      <c r="E2" s="15"/>
      <c r="F2" s="15"/>
      <c r="G2" s="15"/>
    </row>
    <row r="3" spans="1:7" x14ac:dyDescent="0.3">
      <c r="A3" t="s">
        <v>100</v>
      </c>
      <c r="B3" s="15">
        <v>2025</v>
      </c>
      <c r="C3" s="15">
        <v>2026</v>
      </c>
      <c r="D3" s="15">
        <v>2027</v>
      </c>
      <c r="E3" s="15">
        <v>2028</v>
      </c>
      <c r="F3" s="15">
        <v>2029</v>
      </c>
      <c r="G3" s="15">
        <v>20230</v>
      </c>
    </row>
    <row r="4" spans="1:7" x14ac:dyDescent="0.3">
      <c r="A4" t="s">
        <v>26</v>
      </c>
      <c r="B4" s="48">
        <f>'Colgate BS'!H9</f>
        <v>120</v>
      </c>
      <c r="C4" s="21">
        <f>B4</f>
        <v>120</v>
      </c>
      <c r="D4" s="14">
        <f t="shared" ref="D4:G4" si="0">C6</f>
        <v>126</v>
      </c>
      <c r="E4" s="14">
        <f t="shared" si="0"/>
        <v>132.30000000000001</v>
      </c>
      <c r="F4" s="14">
        <f t="shared" si="0"/>
        <v>138.91500000000002</v>
      </c>
      <c r="G4" s="14">
        <f t="shared" si="0"/>
        <v>145.86075000000002</v>
      </c>
    </row>
    <row r="5" spans="1:7" x14ac:dyDescent="0.3">
      <c r="A5" t="s">
        <v>101</v>
      </c>
      <c r="B5" s="24"/>
      <c r="C5" s="24">
        <v>0.05</v>
      </c>
      <c r="D5" s="24">
        <v>0.05</v>
      </c>
      <c r="E5" s="24">
        <v>0.05</v>
      </c>
      <c r="F5" s="24">
        <v>0.05</v>
      </c>
      <c r="G5" s="24">
        <v>0.05</v>
      </c>
    </row>
    <row r="6" spans="1:7" x14ac:dyDescent="0.3">
      <c r="B6" s="38"/>
      <c r="C6" s="38">
        <f t="shared" ref="C6:G6" si="1">C4*(1+C5)</f>
        <v>126</v>
      </c>
      <c r="D6" s="38">
        <f t="shared" si="1"/>
        <v>132.30000000000001</v>
      </c>
      <c r="E6" s="38">
        <f t="shared" si="1"/>
        <v>138.91500000000002</v>
      </c>
      <c r="F6" s="38">
        <f t="shared" si="1"/>
        <v>145.86075000000002</v>
      </c>
      <c r="G6" s="38">
        <f t="shared" si="1"/>
        <v>153.15378750000002</v>
      </c>
    </row>
    <row r="7" spans="1:7" x14ac:dyDescent="0.3">
      <c r="A7" t="s">
        <v>27</v>
      </c>
      <c r="B7" s="48">
        <f>'Colgate BS'!H10</f>
        <v>1783</v>
      </c>
      <c r="C7" s="21">
        <f>B7</f>
        <v>1783</v>
      </c>
      <c r="D7" s="21">
        <f>C9</f>
        <v>1872.15</v>
      </c>
      <c r="E7" s="21">
        <f t="shared" ref="E7:G7" si="2">D9</f>
        <v>1965.7575000000002</v>
      </c>
      <c r="F7" s="21">
        <f t="shared" si="2"/>
        <v>2064.0453750000001</v>
      </c>
      <c r="G7" s="21">
        <f t="shared" si="2"/>
        <v>2167.2476437500004</v>
      </c>
    </row>
    <row r="8" spans="1:7" x14ac:dyDescent="0.3">
      <c r="A8" t="s">
        <v>102</v>
      </c>
      <c r="B8" s="14"/>
      <c r="C8" s="24">
        <v>0.05</v>
      </c>
      <c r="D8" s="24">
        <v>0.05</v>
      </c>
      <c r="E8" s="24">
        <v>0.05</v>
      </c>
      <c r="F8" s="24">
        <v>0.05</v>
      </c>
      <c r="G8" s="24">
        <v>0.05</v>
      </c>
    </row>
    <row r="9" spans="1:7" x14ac:dyDescent="0.3">
      <c r="B9" s="16"/>
      <c r="C9" s="41">
        <f>C7*(1+C8)</f>
        <v>1872.15</v>
      </c>
      <c r="D9" s="41">
        <f>D7*(1+D8)</f>
        <v>1965.7575000000002</v>
      </c>
      <c r="E9" s="41">
        <f t="shared" ref="E9:G9" si="3">E7*(1+E8)</f>
        <v>2064.0453750000001</v>
      </c>
      <c r="F9" s="41">
        <f t="shared" si="3"/>
        <v>2167.2476437500004</v>
      </c>
      <c r="G9" s="41">
        <f t="shared" si="3"/>
        <v>2275.6100259375007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A832-CCDA-4D94-86C8-7FAB677E563E}">
  <dimension ref="A1:M14"/>
  <sheetViews>
    <sheetView workbookViewId="0">
      <selection activeCell="I20" sqref="I20"/>
    </sheetView>
  </sheetViews>
  <sheetFormatPr defaultRowHeight="14.4" x14ac:dyDescent="0.3"/>
  <cols>
    <col min="1" max="1" width="21.21875" customWidth="1"/>
  </cols>
  <sheetData>
    <row r="1" spans="1:13" ht="23.4" x14ac:dyDescent="0.45">
      <c r="A1" s="72" t="s">
        <v>112</v>
      </c>
      <c r="B1" s="72"/>
      <c r="C1" s="72"/>
    </row>
    <row r="3" spans="1:13" x14ac:dyDescent="0.3">
      <c r="B3" s="15">
        <v>2026</v>
      </c>
      <c r="C3" s="15">
        <v>2027</v>
      </c>
      <c r="D3" s="15">
        <v>2028</v>
      </c>
      <c r="E3" s="15">
        <v>2029</v>
      </c>
      <c r="F3" s="15">
        <v>2030</v>
      </c>
    </row>
    <row r="4" spans="1:13" x14ac:dyDescent="0.3">
      <c r="A4" t="s">
        <v>113</v>
      </c>
      <c r="B4" s="48">
        <f>'Colgate BS'!H30</f>
        <v>163727</v>
      </c>
      <c r="C4" s="21">
        <f>B8</f>
        <v>188606.55175837936</v>
      </c>
      <c r="D4" s="21">
        <f t="shared" ref="D4:F4" si="0">C8</f>
        <v>215913.87861924191</v>
      </c>
      <c r="E4" s="21">
        <f t="shared" si="0"/>
        <v>245528.85553136177</v>
      </c>
      <c r="F4" s="21">
        <f t="shared" si="0"/>
        <v>277605.47125535255</v>
      </c>
    </row>
    <row r="5" spans="1:13" x14ac:dyDescent="0.3">
      <c r="A5" t="s">
        <v>18</v>
      </c>
      <c r="B5" s="48">
        <f>'Colgate IS'!J22</f>
        <v>165863.67838919576</v>
      </c>
      <c r="C5" s="48">
        <f>'Colgate IS'!K22</f>
        <v>182048.84573908368</v>
      </c>
      <c r="D5" s="48">
        <f>'Colgate IS'!L22</f>
        <v>197433.17941413241</v>
      </c>
      <c r="E5" s="48">
        <f>'Colgate IS'!M22</f>
        <v>213844.10482660518</v>
      </c>
      <c r="F5" s="48">
        <f>'Colgate IS'!N22</f>
        <v>231452.36813398026</v>
      </c>
    </row>
    <row r="6" spans="1:13" x14ac:dyDescent="0.3">
      <c r="B6" s="42">
        <v>0.15</v>
      </c>
      <c r="C6" s="42">
        <v>0.15</v>
      </c>
      <c r="D6" s="42">
        <v>0.15</v>
      </c>
      <c r="E6" s="42">
        <v>0.15</v>
      </c>
      <c r="F6" s="42">
        <v>0.15</v>
      </c>
    </row>
    <row r="7" spans="1:13" x14ac:dyDescent="0.3">
      <c r="A7" t="s">
        <v>114</v>
      </c>
      <c r="B7" s="21">
        <f>B5*B6</f>
        <v>24879.551758379363</v>
      </c>
      <c r="C7" s="21">
        <f t="shared" ref="C7:F7" si="1">C5*C6</f>
        <v>27307.326860862551</v>
      </c>
      <c r="D7" s="21">
        <f t="shared" si="1"/>
        <v>29614.976912119859</v>
      </c>
      <c r="E7" s="21">
        <f t="shared" si="1"/>
        <v>32076.615723990777</v>
      </c>
      <c r="F7" s="21">
        <f t="shared" si="1"/>
        <v>34717.855220097037</v>
      </c>
    </row>
    <row r="8" spans="1:13" x14ac:dyDescent="0.3">
      <c r="A8" s="17" t="s">
        <v>115</v>
      </c>
      <c r="B8" s="39">
        <f>B4+B7</f>
        <v>188606.55175837936</v>
      </c>
      <c r="C8" s="39">
        <f t="shared" ref="C8:F8" si="2">C4+C7</f>
        <v>215913.87861924191</v>
      </c>
      <c r="D8" s="39">
        <f t="shared" si="2"/>
        <v>245528.85553136177</v>
      </c>
      <c r="E8" s="39">
        <f t="shared" si="2"/>
        <v>277605.47125535255</v>
      </c>
      <c r="F8" s="39">
        <f t="shared" si="2"/>
        <v>312323.3264754496</v>
      </c>
    </row>
    <row r="10" spans="1:13" x14ac:dyDescent="0.3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</row>
    <row r="11" spans="1:13" x14ac:dyDescent="0.3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x14ac:dyDescent="0.3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3" spans="1:13" x14ac:dyDescent="0.3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3" ht="14.4" customHeight="1" x14ac:dyDescent="0.3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Colgate IS</vt:lpstr>
      <vt:lpstr>Colgate BS</vt:lpstr>
      <vt:lpstr>Colgate CF</vt:lpstr>
      <vt:lpstr>Dep Capex</vt:lpstr>
      <vt:lpstr>Working Capital</vt:lpstr>
      <vt:lpstr>CWIP</vt:lpstr>
      <vt:lpstr>FA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Kuldeep</dc:creator>
  <cp:lastModifiedBy>Ankit Kuldeep</cp:lastModifiedBy>
  <dcterms:created xsi:type="dcterms:W3CDTF">2026-02-21T15:54:02Z</dcterms:created>
  <dcterms:modified xsi:type="dcterms:W3CDTF">2026-03-01T06:53:54Z</dcterms:modified>
</cp:coreProperties>
</file>